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hidePivotFieldList="1" defaultThemeVersion="202300"/>
  <mc:AlternateContent xmlns:mc="http://schemas.openxmlformats.org/markup-compatibility/2006">
    <mc:Choice Requires="x15">
      <x15ac:absPath xmlns:x15ac="http://schemas.microsoft.com/office/spreadsheetml/2010/11/ac" url="D:\Data_Analyst\"/>
    </mc:Choice>
  </mc:AlternateContent>
  <xr:revisionPtr revIDLastSave="0" documentId="13_ncr:1_{08724A2F-D49E-42C7-92A2-FE489C611AD6}" xr6:coauthVersionLast="47" xr6:coauthVersionMax="47" xr10:uidLastSave="{00000000-0000-0000-0000-000000000000}"/>
  <bookViews>
    <workbookView xWindow="-120" yWindow="-120" windowWidth="24240" windowHeight="13140" xr2:uid="{AE73208D-0164-487E-956D-B000FBFC612F}"/>
  </bookViews>
  <sheets>
    <sheet name="Sheet2" sheetId="2" r:id="rId1"/>
    <sheet name="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1" l="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2" i="1"/>
</calcChain>
</file>

<file path=xl/sharedStrings.xml><?xml version="1.0" encoding="utf-8"?>
<sst xmlns="http://schemas.openxmlformats.org/spreadsheetml/2006/main" count="331" uniqueCount="212">
  <si>
    <t>empCode</t>
  </si>
  <si>
    <t>sales executive</t>
  </si>
  <si>
    <t>region</t>
  </si>
  <si>
    <t>day1</t>
  </si>
  <si>
    <t>day2</t>
  </si>
  <si>
    <t>day3</t>
  </si>
  <si>
    <t>day4</t>
  </si>
  <si>
    <t>day5</t>
  </si>
  <si>
    <t>total sales</t>
  </si>
  <si>
    <t>target</t>
  </si>
  <si>
    <t>target hit %</t>
  </si>
  <si>
    <t>away from target %</t>
  </si>
  <si>
    <t>EMP032</t>
  </si>
  <si>
    <t>Aaron White</t>
  </si>
  <si>
    <t>West</t>
  </si>
  <si>
    <t>EMP065</t>
  </si>
  <si>
    <t>Adam Yellow</t>
  </si>
  <si>
    <t>East</t>
  </si>
  <si>
    <t>EMP077</t>
  </si>
  <si>
    <t>Aidan Black</t>
  </si>
  <si>
    <t>EMP003</t>
  </si>
  <si>
    <t>Alex Brown</t>
  </si>
  <si>
    <t>EMP022</t>
  </si>
  <si>
    <t>Alice Green</t>
  </si>
  <si>
    <t>North</t>
  </si>
  <si>
    <t>EMP058</t>
  </si>
  <si>
    <t>Amy Blue</t>
  </si>
  <si>
    <t>South</t>
  </si>
  <si>
    <t>EMP011</t>
  </si>
  <si>
    <t>Andrew White</t>
  </si>
  <si>
    <t>EMP045</t>
  </si>
  <si>
    <t>Angela Green</t>
  </si>
  <si>
    <t>EMP049</t>
  </si>
  <si>
    <t>Anna Black</t>
  </si>
  <si>
    <t>EMP090</t>
  </si>
  <si>
    <t>Aria Red</t>
  </si>
  <si>
    <t>EMP084</t>
  </si>
  <si>
    <t>Ava Blue</t>
  </si>
  <si>
    <t>EMP042</t>
  </si>
  <si>
    <t>Brandon Grey</t>
  </si>
  <si>
    <t>EMP048</t>
  </si>
  <si>
    <t>Brian Yellow</t>
  </si>
  <si>
    <t>EMP050</t>
  </si>
  <si>
    <t>Cameron White</t>
  </si>
  <si>
    <t>EMP031</t>
  </si>
  <si>
    <t>Chloe Black</t>
  </si>
  <si>
    <t>EMP070</t>
  </si>
  <si>
    <t>Chloe Red</t>
  </si>
  <si>
    <t>EMP017</t>
  </si>
  <si>
    <t>Chris Yellow</t>
  </si>
  <si>
    <t>EMP075</t>
  </si>
  <si>
    <t>Connor Red</t>
  </si>
  <si>
    <t>EMP095</t>
  </si>
  <si>
    <t>Daniel Red</t>
  </si>
  <si>
    <t>EMP019</t>
  </si>
  <si>
    <t>Daniel White</t>
  </si>
  <si>
    <t>EMP055</t>
  </si>
  <si>
    <t>Derek Black</t>
  </si>
  <si>
    <t>EMP025</t>
  </si>
  <si>
    <t>Diana White</t>
  </si>
  <si>
    <t>EMP091</t>
  </si>
  <si>
    <t>Elijah Yellow</t>
  </si>
  <si>
    <t>EMP064</t>
  </si>
  <si>
    <t>Ella Red</t>
  </si>
  <si>
    <t>EMP037</t>
  </si>
  <si>
    <t>Ellie Yellow</t>
  </si>
  <si>
    <t>EMP082</t>
  </si>
  <si>
    <t>Emily Black</t>
  </si>
  <si>
    <t>EMP008</t>
  </si>
  <si>
    <t>Emily Blue</t>
  </si>
  <si>
    <t>EMP018</t>
  </si>
  <si>
    <t>Emma Brown</t>
  </si>
  <si>
    <t>EMP057</t>
  </si>
  <si>
    <t>Ethan Green</t>
  </si>
  <si>
    <t>EMP073</t>
  </si>
  <si>
    <t>Evan Green</t>
  </si>
  <si>
    <t>EMP056</t>
  </si>
  <si>
    <t>Fiona White</t>
  </si>
  <si>
    <t>EMP066</t>
  </si>
  <si>
    <t>Grace Black</t>
  </si>
  <si>
    <t>EMP074</t>
  </si>
  <si>
    <t>Hannah Blue</t>
  </si>
  <si>
    <t>EMP027</t>
  </si>
  <si>
    <t>Helen Brown</t>
  </si>
  <si>
    <t>EMP021</t>
  </si>
  <si>
    <t>Henry Grey</t>
  </si>
  <si>
    <t>EMP061</t>
  </si>
  <si>
    <t>Isaac White</t>
  </si>
  <si>
    <t>EMP067</t>
  </si>
  <si>
    <t>Jake White</t>
  </si>
  <si>
    <t>EMP015</t>
  </si>
  <si>
    <t>James Blue</t>
  </si>
  <si>
    <t>EMP002</t>
  </si>
  <si>
    <t>Jane Smith</t>
  </si>
  <si>
    <t>EMP001</t>
  </si>
  <si>
    <t>John Doe</t>
  </si>
  <si>
    <t>EMP046</t>
  </si>
  <si>
    <t>Julian Blue</t>
  </si>
  <si>
    <t>EMP026</t>
  </si>
  <si>
    <t>Justin Red</t>
  </si>
  <si>
    <t>EMP079</t>
  </si>
  <si>
    <t>Kai Blue</t>
  </si>
  <si>
    <t>EMP043</t>
  </si>
  <si>
    <t>Karen White</t>
  </si>
  <si>
    <t>EMP016</t>
  </si>
  <si>
    <t>Kate Red</t>
  </si>
  <si>
    <t>EMP035</t>
  </si>
  <si>
    <t>Laura Red</t>
  </si>
  <si>
    <t>EMP078</t>
  </si>
  <si>
    <t>Leah Green</t>
  </si>
  <si>
    <t>EMP097</t>
  </si>
  <si>
    <t>Leo Black</t>
  </si>
  <si>
    <t>EMP034</t>
  </si>
  <si>
    <t>Liam Blue</t>
  </si>
  <si>
    <t>EMP085</t>
  </si>
  <si>
    <t>Liam Red</t>
  </si>
  <si>
    <t>EMP080</t>
  </si>
  <si>
    <t>Lila Red</t>
  </si>
  <si>
    <t>EMP088</t>
  </si>
  <si>
    <t>Lily Green</t>
  </si>
  <si>
    <t>EMP041</t>
  </si>
  <si>
    <t>Lily Red</t>
  </si>
  <si>
    <t>EMP004</t>
  </si>
  <si>
    <t>Linda Green</t>
  </si>
  <si>
    <t>EMP012</t>
  </si>
  <si>
    <t>Lisa Black</t>
  </si>
  <si>
    <t>EMP092</t>
  </si>
  <si>
    <t>Lucy Black</t>
  </si>
  <si>
    <t>EMP063</t>
  </si>
  <si>
    <t>Luke Blue</t>
  </si>
  <si>
    <t>EMP051</t>
  </si>
  <si>
    <t>Mark Green</t>
  </si>
  <si>
    <t>EMP014</t>
  </si>
  <si>
    <t>Mary Grey</t>
  </si>
  <si>
    <t>EMP071</t>
  </si>
  <si>
    <t>Mason Yellow</t>
  </si>
  <si>
    <t>EMP023</t>
  </si>
  <si>
    <t>Matthew Blue</t>
  </si>
  <si>
    <t>EMP099</t>
  </si>
  <si>
    <t>Max Blue</t>
  </si>
  <si>
    <t>EMP086</t>
  </si>
  <si>
    <t>Maya Yellow</t>
  </si>
  <si>
    <t>EMP029</t>
  </si>
  <si>
    <t>Megan Yellow</t>
  </si>
  <si>
    <t>EMP062</t>
  </si>
  <si>
    <t>Mia Green</t>
  </si>
  <si>
    <t>EMP005</t>
  </si>
  <si>
    <t>Michael White</t>
  </si>
  <si>
    <t>EMP096</t>
  </si>
  <si>
    <t>Mila Yellow</t>
  </si>
  <si>
    <t>EMP036</t>
  </si>
  <si>
    <t>Nathan Brown</t>
  </si>
  <si>
    <t>EMP024</t>
  </si>
  <si>
    <t>Nicole Black</t>
  </si>
  <si>
    <t>EMP052</t>
  </si>
  <si>
    <t>Nina Blue</t>
  </si>
  <si>
    <t>EMP083</t>
  </si>
  <si>
    <t>Noah Green</t>
  </si>
  <si>
    <t>EMP094</t>
  </si>
  <si>
    <t>Nora Blue</t>
  </si>
  <si>
    <t>EMP020</t>
  </si>
  <si>
    <t>Olivia Black</t>
  </si>
  <si>
    <t>EMP087</t>
  </si>
  <si>
    <t>Owen Black</t>
  </si>
  <si>
    <t>EMP053</t>
  </si>
  <si>
    <t>Owen Red</t>
  </si>
  <si>
    <t>EMP039</t>
  </si>
  <si>
    <t>Paige Green</t>
  </si>
  <si>
    <t>EMP013</t>
  </si>
  <si>
    <t>Peter Green</t>
  </si>
  <si>
    <t>EMP033</t>
  </si>
  <si>
    <t>Rachel Green</t>
  </si>
  <si>
    <t>EMP007</t>
  </si>
  <si>
    <t>Robert Grey</t>
  </si>
  <si>
    <t>EMP098</t>
  </si>
  <si>
    <t>Ruby Green</t>
  </si>
  <si>
    <t>EMP069</t>
  </si>
  <si>
    <t>Ryan Blue</t>
  </si>
  <si>
    <t>EMP028</t>
  </si>
  <si>
    <t>Samuel Green</t>
  </si>
  <si>
    <t>EMP010</t>
  </si>
  <si>
    <t>Sarah Red</t>
  </si>
  <si>
    <t>EMP030</t>
  </si>
  <si>
    <t>Scott Grey</t>
  </si>
  <si>
    <t>EMP038</t>
  </si>
  <si>
    <t>Sean Black</t>
  </si>
  <si>
    <t>EMP081</t>
  </si>
  <si>
    <t>Sean Yellow</t>
  </si>
  <si>
    <t>EMP068</t>
  </si>
  <si>
    <t>Sophia Green</t>
  </si>
  <si>
    <t>EMP047</t>
  </si>
  <si>
    <t>Sophie Red</t>
  </si>
  <si>
    <t>EMP006</t>
  </si>
  <si>
    <t>Susan Black</t>
  </si>
  <si>
    <t>EMP009</t>
  </si>
  <si>
    <t>Tom Yellow</t>
  </si>
  <si>
    <t>EMP044</t>
  </si>
  <si>
    <t>Tyler Brown</t>
  </si>
  <si>
    <t>EMP040</t>
  </si>
  <si>
    <t>Victor Blue</t>
  </si>
  <si>
    <t>EMP059</t>
  </si>
  <si>
    <t>Victor Red</t>
  </si>
  <si>
    <t>EMP054</t>
  </si>
  <si>
    <t>Zara Yellow</t>
  </si>
  <si>
    <t>EMP072</t>
  </si>
  <si>
    <t>Zoe Black</t>
  </si>
  <si>
    <t>Grand Total</t>
  </si>
  <si>
    <t>Sale Executive</t>
  </si>
  <si>
    <t xml:space="preserve">total sales </t>
  </si>
  <si>
    <t>Row Labels</t>
  </si>
  <si>
    <t>Sum of target hit %</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</si>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</sst>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Aptos Narrow"/>
      <family val="2"/>
      <scheme val="minor"/>
    </font>
    <font>
      <b/>
      <sz val="11"/>
      <color theme="1"/>
      <name val="Aptos Narrow"/>
      <family val="2"/>
      <scheme val="minor"/>
    </font>
    <font>
      <sz val="11"/>
      <color theme="0"/>
      <name val="Aptos Narrow"/>
      <family val="2"/>
      <scheme val="minor"/>
    </font>
    <font>
      <sz val="8"/>
      <color rgb="FF000000"/>
      <name val="Segoe UI"/>
      <family val="2"/>
    </font>
  </fonts>
  <fills count="3">
    <fill>
      <patternFill patternType="none"/>
    </fill>
    <fill>
      <patternFill patternType="gray125"/>
    </fill>
    <fill>
      <patternFill patternType="solid">
        <fgColor theme="5" tint="-0.249977111117893"/>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9" fontId="0" fillId="0" borderId="0" xfId="0" applyNumberFormat="1"/>
    <xf numFmtId="0" fontId="0" fillId="2" borderId="0" xfId="0" applyFill="1"/>
    <xf numFmtId="0" fontId="2" fillId="2" borderId="0" xfId="0" applyFont="1" applyFill="1"/>
    <xf numFmtId="0" fontId="0" fillId="2" borderId="0" xfId="0" applyFill="1" applyAlignment="1">
      <alignment horizontal="left"/>
    </xf>
    <xf numFmtId="9" fontId="0" fillId="2" borderId="0" xfId="0" applyNumberFormat="1" applyFill="1"/>
    <xf numFmtId="0" fontId="0" fillId="2" borderId="0" xfId="0" applyNumberFormat="1" applyFill="1"/>
  </cellXfs>
  <cellStyles count="1">
    <cellStyle name="Normal" xfId="0" builtinId="0"/>
  </cellStyles>
  <dxfs count="49">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bgColor theme="1" tint="0.14996795556505021"/>
        </patternFill>
      </fill>
    </dxf>
  </dxfs>
  <tableStyles count="1" defaultTableStyle="TableStyleMedium2" defaultPivotStyle="PivotStyleLight16">
    <tableStyle name="Slicer Style 1" pivot="0" table="0" count="5" xr9:uid="{A3698ED2-839B-4AED-B7D8-3D46495D26D3}">
      <tableStyleElement type="wholeTable" dxfId="48"/>
    </tableStyle>
  </tableStyles>
  <extLst>
    <ext xmlns:x14="http://schemas.microsoft.com/office/spreadsheetml/2009/9/main" uri="{46F421CA-312F-682f-3DD2-61675219B42D}">
      <x14:dxfs count="4">
        <dxf>
          <fill>
            <patternFill>
              <bgColor rgb="FFFFC000"/>
            </patternFill>
          </fill>
        </dxf>
        <dxf>
          <fill>
            <patternFill>
              <bgColor theme="9" tint="0.3999450666829432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[intractive_dash.xlsm]Sheet2!PivotTable1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PK"/>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243354196110098"/>
          <c:y val="3.9433156142878435E-2"/>
          <c:w val="0.67201090248334339"/>
          <c:h val="0.89155882060708436"/>
        </c:manualLayout>
      </c:layout>
      <c:barChart>
        <c:barDir val="bar"/>
        <c:grouping val="clustered"/>
        <c:varyColors val="0"/>
        <c:ser>
          <c:idx val="0"/>
          <c:order val="0"/>
          <c:tx>
            <c:strRef>
              <c:f>Sheet2!$B$3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PK"/>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Sheet2!$A$4:$A$9</c:f>
              <c:strCache>
                <c:ptCount val="5"/>
                <c:pt idx="0">
                  <c:v>Evan Green</c:v>
                </c:pt>
                <c:pt idx="1">
                  <c:v>Mary Grey</c:v>
                </c:pt>
                <c:pt idx="2">
                  <c:v>Nathan Brown</c:v>
                </c:pt>
                <c:pt idx="3">
                  <c:v>Victor Blue</c:v>
                </c:pt>
                <c:pt idx="4">
                  <c:v>Victor Red</c:v>
                </c:pt>
              </c:strCache>
            </c:strRef>
          </c:cat>
          <c:val>
            <c:numRef>
              <c:f>Sheet2!$B$4:$B$9</c:f>
              <c:numCache>
                <c:formatCode>General</c:formatCode>
                <c:ptCount val="5"/>
                <c:pt idx="0">
                  <c:v>2850</c:v>
                </c:pt>
                <c:pt idx="1">
                  <c:v>2650</c:v>
                </c:pt>
                <c:pt idx="2">
                  <c:v>2850</c:v>
                </c:pt>
                <c:pt idx="3">
                  <c:v>3610</c:v>
                </c:pt>
                <c:pt idx="4">
                  <c:v>3480</c:v>
                </c:pt>
              </c:numCache>
            </c:numRef>
          </c:val>
          <c:extLst>
            <c:ext xmlns:c16="http://schemas.microsoft.com/office/drawing/2014/chart" uri="{C3380CC4-5D6E-409C-BE32-E72D297353CC}">
              <c16:uniqueId val="{00000000-3995-4BC4-959C-FAE541C36459}"/>
            </c:ext>
          </c:extLst>
        </c:ser>
        <c:dLbls>
          <c:dLblPos val="inEnd"/>
          <c:showLegendKey val="0"/>
          <c:showVal val="1"/>
          <c:showCatName val="0"/>
          <c:showSerName val="0"/>
          <c:showPercent val="0"/>
          <c:showBubbleSize val="0"/>
        </c:dLbls>
        <c:gapWidth val="115"/>
        <c:overlap val="-20"/>
        <c:axId val="1598410303"/>
        <c:axId val="1598405503"/>
      </c:barChart>
      <c:catAx>
        <c:axId val="1598410303"/>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PK"/>
          </a:p>
        </c:txPr>
        <c:crossAx val="1598405503"/>
        <c:crosses val="autoZero"/>
        <c:auto val="1"/>
        <c:lblAlgn val="ctr"/>
        <c:lblOffset val="100"/>
        <c:noMultiLvlLbl val="0"/>
      </c:catAx>
      <c:valAx>
        <c:axId val="1598405503"/>
        <c:scaling>
          <c:orientation val="minMax"/>
        </c:scaling>
        <c:delete val="1"/>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15984103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[intractive_dash.xlsm]Sheet2!PivotTable2</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PK"/>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Sheet2!$E$3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PK"/>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Sheet2!$D$4:$D$10</c:f>
              <c:strCache>
                <c:ptCount val="6"/>
                <c:pt idx="0">
                  <c:v>Aidan Black</c:v>
                </c:pt>
                <c:pt idx="1">
                  <c:v>Aria Red</c:v>
                </c:pt>
                <c:pt idx="2">
                  <c:v>Brian Yellow</c:v>
                </c:pt>
                <c:pt idx="3">
                  <c:v>Liam Red</c:v>
                </c:pt>
                <c:pt idx="4">
                  <c:v>Sean Yellow</c:v>
                </c:pt>
                <c:pt idx="5">
                  <c:v>Tyler Brown</c:v>
                </c:pt>
              </c:strCache>
            </c:strRef>
          </c:cat>
          <c:val>
            <c:numRef>
              <c:f>Sheet2!$E$4:$E$10</c:f>
              <c:numCache>
                <c:formatCode>General</c:formatCode>
                <c:ptCount val="6"/>
                <c:pt idx="0">
                  <c:v>670</c:v>
                </c:pt>
                <c:pt idx="1">
                  <c:v>1600</c:v>
                </c:pt>
                <c:pt idx="2">
                  <c:v>1650</c:v>
                </c:pt>
                <c:pt idx="3">
                  <c:v>1650</c:v>
                </c:pt>
                <c:pt idx="4">
                  <c:v>1400</c:v>
                </c:pt>
                <c:pt idx="5">
                  <c:v>1400</c:v>
                </c:pt>
              </c:numCache>
            </c:numRef>
          </c:val>
          <c:extLst>
            <c:ext xmlns:c16="http://schemas.microsoft.com/office/drawing/2014/chart" uri="{C3380CC4-5D6E-409C-BE32-E72D297353CC}">
              <c16:uniqueId val="{00000000-5824-4A53-8958-38586732F8F1}"/>
            </c:ext>
          </c:extLst>
        </c:ser>
        <c:dLbls>
          <c:dLblPos val="inEnd"/>
          <c:showLegendKey val="0"/>
          <c:showVal val="1"/>
          <c:showCatName val="0"/>
          <c:showSerName val="0"/>
          <c:showPercent val="0"/>
          <c:showBubbleSize val="0"/>
        </c:dLbls>
        <c:gapWidth val="100"/>
        <c:overlap val="-24"/>
        <c:axId val="1598391583"/>
        <c:axId val="1598383423"/>
      </c:barChart>
      <c:catAx>
        <c:axId val="159839158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PK"/>
          </a:p>
        </c:txPr>
        <c:crossAx val="1598383423"/>
        <c:crosses val="autoZero"/>
        <c:auto val="1"/>
        <c:lblAlgn val="ctr"/>
        <c:lblOffset val="100"/>
        <c:noMultiLvlLbl val="0"/>
      </c:catAx>
      <c:valAx>
        <c:axId val="1598383423"/>
        <c:scaling>
          <c:orientation val="minMax"/>
        </c:scaling>
        <c:delete val="1"/>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15983915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[intractive_dash.xlsm]Sheet2!PivotTable3</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PK"/>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19536141839809631"/>
          <c:y val="0.19173050737078914"/>
          <c:w val="0.61310278198612256"/>
          <c:h val="0.80325696130089008"/>
        </c:manualLayout>
      </c:layout>
      <c:pieChart>
        <c:varyColors val="1"/>
        <c:ser>
          <c:idx val="0"/>
          <c:order val="0"/>
          <c:tx>
            <c:strRef>
              <c:f>Sheet2!$H$3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CC04-4902-8C36-E422934DEAF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CC04-4902-8C36-E422934DEAF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CC04-4902-8C36-E422934DEAF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CC04-4902-8C36-E422934DEAFC}"/>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CC04-4902-8C36-E422934DEAF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PK"/>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Sheet2!$G$4:$G$9</c:f>
              <c:strCache>
                <c:ptCount val="5"/>
                <c:pt idx="0">
                  <c:v>Evan Green</c:v>
                </c:pt>
                <c:pt idx="1">
                  <c:v>Mary Grey</c:v>
                </c:pt>
                <c:pt idx="2">
                  <c:v>Nathan Brown</c:v>
                </c:pt>
                <c:pt idx="3">
                  <c:v>Victor Blue</c:v>
                </c:pt>
                <c:pt idx="4">
                  <c:v>Victor Red</c:v>
                </c:pt>
              </c:strCache>
            </c:strRef>
          </c:cat>
          <c:val>
            <c:numRef>
              <c:f>Sheet2!$H$4:$H$9</c:f>
              <c:numCache>
                <c:formatCode>0%</c:formatCode>
                <c:ptCount val="5"/>
                <c:pt idx="0">
                  <c:v>0.56999999999999995</c:v>
                </c:pt>
                <c:pt idx="1">
                  <c:v>0.53</c:v>
                </c:pt>
                <c:pt idx="2">
                  <c:v>0.56999999999999995</c:v>
                </c:pt>
                <c:pt idx="3">
                  <c:v>0.72199999999999998</c:v>
                </c:pt>
                <c:pt idx="4">
                  <c:v>0.69599999999999995</c:v>
                </c:pt>
              </c:numCache>
            </c:numRef>
          </c:val>
          <c:extLst>
            <c:ext xmlns:c16="http://schemas.microsoft.com/office/drawing/2014/chart" uri="{C3380CC4-5D6E-409C-BE32-E72D297353CC}">
              <c16:uniqueId val="{00000000-837D-4CD8-BD75-1A16CD5D141C}"/>
            </c:ext>
          </c:extLst>
        </c:ser>
        <c:dLbls>
          <c:showLegendKey val="0"/>
          <c:showVal val="0"/>
          <c:showCatName val="0"/>
          <c:showSerName val="0"/>
          <c:showPercent val="0"/>
          <c:showBubbleSize val="0"/>
          <c:showLeaderLines val="1"/>
        </c:dLbls>
        <c:firstSliceAng val="0"/>
      </c:pieChart>
      <c:spPr>
        <a:noFill/>
        <a:ln>
          <a:noFill/>
        </a:ln>
        <a:effectLst/>
      </c:spPr>
    </c:plotArea>
    <c:legend>
      <c:legendPos val="t"/>
      <c:layout>
        <c:manualLayout>
          <c:xMode val="edge"/>
          <c:yMode val="edge"/>
          <c:x val="2.0840720321329092E-2"/>
          <c:y val="2.8119513096976894E-2"/>
          <c:w val="0.95449263932148065"/>
          <c:h val="0.1511434899636955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P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[intractive_dash.xlsm]Sheet2!PivotTable4</c:name>
    <c:fmtId val="0"/>
  </c:pivotSource>
  <c:chart>
    <c:autoTitleDeleted val="1"/>
    <c:pivotFmts>
      <c:pivotFmt>
        <c:idx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PK"/>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Sheet2!$K$3</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Sheet2!$J$4:$J$10</c:f>
              <c:strCache>
                <c:ptCount val="6"/>
                <c:pt idx="0">
                  <c:v>Aidan Black</c:v>
                </c:pt>
                <c:pt idx="1">
                  <c:v>Aria Red</c:v>
                </c:pt>
                <c:pt idx="2">
                  <c:v>Brian Yellow</c:v>
                </c:pt>
                <c:pt idx="3">
                  <c:v>Liam Red</c:v>
                </c:pt>
                <c:pt idx="4">
                  <c:v>Sean Yellow</c:v>
                </c:pt>
                <c:pt idx="5">
                  <c:v>Tyler Brown</c:v>
                </c:pt>
              </c:strCache>
            </c:strRef>
          </c:cat>
          <c:val>
            <c:numRef>
              <c:f>Sheet2!$K$4:$K$10</c:f>
              <c:numCache>
                <c:formatCode>0%</c:formatCode>
                <c:ptCount val="6"/>
                <c:pt idx="0">
                  <c:v>0.86599999999999999</c:v>
                </c:pt>
                <c:pt idx="1">
                  <c:v>0.67999999999999994</c:v>
                </c:pt>
                <c:pt idx="2">
                  <c:v>0.66999999999999993</c:v>
                </c:pt>
                <c:pt idx="3">
                  <c:v>0.66999999999999993</c:v>
                </c:pt>
                <c:pt idx="4">
                  <c:v>0.72</c:v>
                </c:pt>
                <c:pt idx="5">
                  <c:v>0.72</c:v>
                </c:pt>
              </c:numCache>
            </c:numRef>
          </c:val>
          <c:smooth val="0"/>
          <c:extLst>
            <c:ext xmlns:c16="http://schemas.microsoft.com/office/drawing/2014/chart" uri="{C3380CC4-5D6E-409C-BE32-E72D297353CC}">
              <c16:uniqueId val="{00000000-758E-4FFD-A1AA-5F174869B496}"/>
            </c:ext>
          </c:extLst>
        </c:ser>
        <c:dLbls>
          <c:showLegendKey val="0"/>
          <c:showVal val="0"/>
          <c:showCatName val="0"/>
          <c:showSerName val="0"/>
          <c:showPercent val="0"/>
          <c:showBubbleSize val="0"/>
        </c:dLbls>
        <c:marker val="1"/>
        <c:smooth val="0"/>
        <c:axId val="1686846175"/>
        <c:axId val="1686861535"/>
      </c:lineChart>
      <c:catAx>
        <c:axId val="168684617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PK"/>
          </a:p>
        </c:txPr>
        <c:crossAx val="1686861535"/>
        <c:crosses val="autoZero"/>
        <c:auto val="1"/>
        <c:lblAlgn val="ctr"/>
        <c:lblOffset val="100"/>
        <c:noMultiLvlLbl val="0"/>
      </c:catAx>
      <c:valAx>
        <c:axId val="168686153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PK"/>
          </a:p>
        </c:txPr>
        <c:crossAx val="16868461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P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B$2" lockText="1" noThreeD="1"/>
</file>

<file path=xl/ctrlProps/ctrlProp2.xml><?xml version="1.0" encoding="utf-8"?>
<formControlPr xmlns="http://schemas.microsoft.com/office/spreadsheetml/2009/9/main" objectType="CheckBox" checked="Checked" fmlaLink="$E$2" lockText="1" noThreeD="1"/>
</file>

<file path=xl/ctrlProps/ctrlProp3.xml><?xml version="1.0" encoding="utf-8"?>
<formControlPr xmlns="http://schemas.microsoft.com/office/spreadsheetml/2009/9/main" objectType="CheckBox" checked="Checked" fmlaLink="$H$2" lockText="1" noThreeD="1"/>
</file>

<file path=xl/ctrlProps/ctrlProp4.xml><?xml version="1.0" encoding="utf-8"?>
<formControlPr xmlns="http://schemas.microsoft.com/office/spreadsheetml/2009/9/main" objectType="CheckBox" checked="Checked" fmlaLink="$K$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38100</xdr:colOff>
      <xdr:row>10</xdr:row>
      <xdr:rowOff>0</xdr:rowOff>
    </xdr:from>
    <xdr:to>
      <xdr:col>2</xdr:col>
      <xdr:colOff>1</xdr:colOff>
      <xdr:row>23</xdr:row>
      <xdr:rowOff>100012</xdr:rowOff>
    </xdr:to>
    <xdr:graphicFrame macro="">
      <xdr:nvGraphicFramePr>
        <xdr:cNvPr id="2" name="Chart 1">
          <a:extLst>
            <a:ext uri="{FF2B5EF4-FFF2-40B4-BE49-F238E27FC236}">
              <a16:creationId xmlns:a16="http://schemas.microsoft.com/office/drawing/2014/main" id="{E473D097-9F54-B686-8495-8C5F0D401D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4762</xdr:colOff>
      <xdr:row>10</xdr:row>
      <xdr:rowOff>0</xdr:rowOff>
    </xdr:from>
    <xdr:to>
      <xdr:col>5</xdr:col>
      <xdr:colOff>0</xdr:colOff>
      <xdr:row>23</xdr:row>
      <xdr:rowOff>95250</xdr:rowOff>
    </xdr:to>
    <xdr:graphicFrame macro="">
      <xdr:nvGraphicFramePr>
        <xdr:cNvPr id="3" name="Chart 2">
          <a:extLst>
            <a:ext uri="{FF2B5EF4-FFF2-40B4-BE49-F238E27FC236}">
              <a16:creationId xmlns:a16="http://schemas.microsoft.com/office/drawing/2014/main" id="{0ACFD3D0-3330-5673-4103-012491C91D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4762</xdr:colOff>
      <xdr:row>10</xdr:row>
      <xdr:rowOff>0</xdr:rowOff>
    </xdr:from>
    <xdr:to>
      <xdr:col>8</xdr:col>
      <xdr:colOff>9525</xdr:colOff>
      <xdr:row>23</xdr:row>
      <xdr:rowOff>57150</xdr:rowOff>
    </xdr:to>
    <xdr:graphicFrame macro="">
      <xdr:nvGraphicFramePr>
        <xdr:cNvPr id="4" name="Chart 3">
          <a:extLst>
            <a:ext uri="{FF2B5EF4-FFF2-40B4-BE49-F238E27FC236}">
              <a16:creationId xmlns:a16="http://schemas.microsoft.com/office/drawing/2014/main" id="{4B0D5EAE-658C-2BC5-8AAF-12FE852E87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4762</xdr:colOff>
      <xdr:row>9</xdr:row>
      <xdr:rowOff>176212</xdr:rowOff>
    </xdr:from>
    <xdr:to>
      <xdr:col>11</xdr:col>
      <xdr:colOff>0</xdr:colOff>
      <xdr:row>23</xdr:row>
      <xdr:rowOff>57150</xdr:rowOff>
    </xdr:to>
    <xdr:graphicFrame macro="">
      <xdr:nvGraphicFramePr>
        <xdr:cNvPr id="5" name="Chart 4">
          <a:extLst>
            <a:ext uri="{FF2B5EF4-FFF2-40B4-BE49-F238E27FC236}">
              <a16:creationId xmlns:a16="http://schemas.microsoft.com/office/drawing/2014/main" id="{E158E02C-E426-107A-F0B6-330082E115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161924</xdr:colOff>
      <xdr:row>0</xdr:row>
      <xdr:rowOff>0</xdr:rowOff>
    </xdr:from>
    <xdr:to>
      <xdr:col>3</xdr:col>
      <xdr:colOff>95249</xdr:colOff>
      <xdr:row>1</xdr:row>
      <xdr:rowOff>257175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2E239DA6-8063-BB4C-176C-25F57B91418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61924" y="0"/>
              <a:ext cx="3400425" cy="447675"/>
            </a:xfrm>
            <a:prstGeom prst="rect">
              <a:avLst/>
            </a:prstGeom>
            <a:solidFill>
              <a:prstClr val="white"/>
            </a:solidFill>
            <a:ln w="1">
              <a:solidFill>
                <a:prstClr val="green"/>
              </a:solidFill>
            </a:ln>
          </xdr:spPr>
          <xdr:txBody>
            <a:bodyPr vertOverflow="clip" horzOverflow="clip"/>
            <a:lstStyle/>
            <a:p>
              <a:r>
                <a:rPr lang="en-P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857250</xdr:colOff>
      <xdr:row>1</xdr:row>
      <xdr:rowOff>285751</xdr:rowOff>
    </xdr:from>
    <xdr:to>
      <xdr:col>1</xdr:col>
      <xdr:colOff>352425</xdr:colOff>
      <xdr:row>1</xdr:row>
      <xdr:rowOff>619125</xdr:rowOff>
    </xdr:to>
    <xdr:sp macro="" textlink="">
      <xdr:nvSpPr>
        <xdr:cNvPr id="9" name="Speech Bubble: Rectangle 8">
          <a:extLst>
            <a:ext uri="{FF2B5EF4-FFF2-40B4-BE49-F238E27FC236}">
              <a16:creationId xmlns:a16="http://schemas.microsoft.com/office/drawing/2014/main" id="{AEF6EF53-BFA3-3201-7F4E-42BDB8B12F49}"/>
            </a:ext>
          </a:extLst>
        </xdr:cNvPr>
        <xdr:cNvSpPr/>
      </xdr:nvSpPr>
      <xdr:spPr>
        <a:xfrm>
          <a:off x="857250" y="476251"/>
          <a:ext cx="1371600" cy="333374"/>
        </a:xfrm>
        <a:prstGeom prst="wedgeRectCallout">
          <a:avLst>
            <a:gd name="adj1" fmla="val -20139"/>
            <a:gd name="adj2" fmla="val 81855"/>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mc:AlternateContent xmlns:mc="http://schemas.openxmlformats.org/markup-compatibility/2006">
    <mc:Choice xmlns:a14="http://schemas.microsoft.com/office/drawing/2010/main" Requires="a14">
      <xdr:twoCellAnchor editAs="oneCell">
        <xdr:from>
          <xdr:col>0</xdr:col>
          <xdr:colOff>1076325</xdr:colOff>
          <xdr:row>1</xdr:row>
          <xdr:rowOff>333375</xdr:rowOff>
        </xdr:from>
        <xdr:to>
          <xdr:col>1</xdr:col>
          <xdr:colOff>142875</xdr:colOff>
          <xdr:row>1</xdr:row>
          <xdr:rowOff>552450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K"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990600</xdr:colOff>
      <xdr:row>1</xdr:row>
      <xdr:rowOff>285751</xdr:rowOff>
    </xdr:from>
    <xdr:to>
      <xdr:col>3</xdr:col>
      <xdr:colOff>2362200</xdr:colOff>
      <xdr:row>1</xdr:row>
      <xdr:rowOff>619125</xdr:rowOff>
    </xdr:to>
    <xdr:sp macro="" textlink="">
      <xdr:nvSpPr>
        <xdr:cNvPr id="10" name="Speech Bubble: Rectangle 9">
          <a:extLst>
            <a:ext uri="{FF2B5EF4-FFF2-40B4-BE49-F238E27FC236}">
              <a16:creationId xmlns:a16="http://schemas.microsoft.com/office/drawing/2014/main" id="{9B6035A1-279A-7F5A-7B75-877820391310}"/>
            </a:ext>
          </a:extLst>
        </xdr:cNvPr>
        <xdr:cNvSpPr/>
      </xdr:nvSpPr>
      <xdr:spPr>
        <a:xfrm>
          <a:off x="4457700" y="476251"/>
          <a:ext cx="1371600" cy="333374"/>
        </a:xfrm>
        <a:prstGeom prst="wedgeRectCallout">
          <a:avLst>
            <a:gd name="adj1" fmla="val -20139"/>
            <a:gd name="adj2" fmla="val 81855"/>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mc:AlternateContent xmlns:mc="http://schemas.openxmlformats.org/markup-compatibility/2006">
    <mc:Choice xmlns:a14="http://schemas.microsoft.com/office/drawing/2010/main" Requires="a14">
      <xdr:twoCellAnchor editAs="oneCell">
        <xdr:from>
          <xdr:col>3</xdr:col>
          <xdr:colOff>1209675</xdr:colOff>
          <xdr:row>1</xdr:row>
          <xdr:rowOff>333375</xdr:rowOff>
        </xdr:from>
        <xdr:to>
          <xdr:col>3</xdr:col>
          <xdr:colOff>2152650</xdr:colOff>
          <xdr:row>1</xdr:row>
          <xdr:rowOff>552450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K"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952500</xdr:colOff>
      <xdr:row>1</xdr:row>
      <xdr:rowOff>285751</xdr:rowOff>
    </xdr:from>
    <xdr:to>
      <xdr:col>7</xdr:col>
      <xdr:colOff>219075</xdr:colOff>
      <xdr:row>1</xdr:row>
      <xdr:rowOff>619125</xdr:rowOff>
    </xdr:to>
    <xdr:sp macro="" textlink="">
      <xdr:nvSpPr>
        <xdr:cNvPr id="11" name="Speech Bubble: Rectangle 10">
          <a:extLst>
            <a:ext uri="{FF2B5EF4-FFF2-40B4-BE49-F238E27FC236}">
              <a16:creationId xmlns:a16="http://schemas.microsoft.com/office/drawing/2014/main" id="{0C4949B4-0B91-1C84-2E72-32D5889514FB}"/>
            </a:ext>
          </a:extLst>
        </xdr:cNvPr>
        <xdr:cNvSpPr/>
      </xdr:nvSpPr>
      <xdr:spPr>
        <a:xfrm>
          <a:off x="8058150" y="476251"/>
          <a:ext cx="1371600" cy="333374"/>
        </a:xfrm>
        <a:prstGeom prst="wedgeRectCallout">
          <a:avLst>
            <a:gd name="adj1" fmla="val -20139"/>
            <a:gd name="adj2" fmla="val 81855"/>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mc:AlternateContent xmlns:mc="http://schemas.openxmlformats.org/markup-compatibility/2006">
    <mc:Choice xmlns:a14="http://schemas.microsoft.com/office/drawing/2010/main" Requires="a14">
      <xdr:twoCellAnchor editAs="oneCell">
        <xdr:from>
          <xdr:col>6</xdr:col>
          <xdr:colOff>1171575</xdr:colOff>
          <xdr:row>1</xdr:row>
          <xdr:rowOff>333375</xdr:rowOff>
        </xdr:from>
        <xdr:to>
          <xdr:col>7</xdr:col>
          <xdr:colOff>9525</xdr:colOff>
          <xdr:row>1</xdr:row>
          <xdr:rowOff>552450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K"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876300</xdr:colOff>
      <xdr:row>1</xdr:row>
      <xdr:rowOff>285751</xdr:rowOff>
    </xdr:from>
    <xdr:to>
      <xdr:col>10</xdr:col>
      <xdr:colOff>419100</xdr:colOff>
      <xdr:row>1</xdr:row>
      <xdr:rowOff>619125</xdr:rowOff>
    </xdr:to>
    <xdr:sp macro="" textlink="">
      <xdr:nvSpPr>
        <xdr:cNvPr id="12" name="Speech Bubble: Rectangle 11">
          <a:extLst>
            <a:ext uri="{FF2B5EF4-FFF2-40B4-BE49-F238E27FC236}">
              <a16:creationId xmlns:a16="http://schemas.microsoft.com/office/drawing/2014/main" id="{41CBA5FA-3403-1BF2-E16E-DE6035F3E5F4}"/>
            </a:ext>
          </a:extLst>
        </xdr:cNvPr>
        <xdr:cNvSpPr/>
      </xdr:nvSpPr>
      <xdr:spPr>
        <a:xfrm>
          <a:off x="11658600" y="476251"/>
          <a:ext cx="1371600" cy="333374"/>
        </a:xfrm>
        <a:prstGeom prst="wedgeRectCallout">
          <a:avLst>
            <a:gd name="adj1" fmla="val -20139"/>
            <a:gd name="adj2" fmla="val 81855"/>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K" sz="1100"/>
        </a:p>
      </xdr:txBody>
    </xdr:sp>
    <xdr:clientData/>
  </xdr:twoCellAnchor>
  <mc:AlternateContent xmlns:mc="http://schemas.openxmlformats.org/markup-compatibility/2006">
    <mc:Choice xmlns:a14="http://schemas.microsoft.com/office/drawing/2010/main" Requires="a14">
      <xdr:twoCellAnchor editAs="oneCell">
        <xdr:from>
          <xdr:col>9</xdr:col>
          <xdr:colOff>1095375</xdr:colOff>
          <xdr:row>1</xdr:row>
          <xdr:rowOff>333375</xdr:rowOff>
        </xdr:from>
        <xdr:to>
          <xdr:col>10</xdr:col>
          <xdr:colOff>209550</xdr:colOff>
          <xdr:row>1</xdr:row>
          <xdr:rowOff>552450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PK"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ms" refreshedDate="45795.725415277775" createdVersion="8" refreshedVersion="8" minRefreshableVersion="3" recordCount="95" xr:uid="{61FDC9E6-B6FC-491A-B417-765A25116E58}">
  <cacheSource type="worksheet">
    <worksheetSource ref="A1:L96" sheet="data"/>
  </cacheSource>
  <cacheFields count="12">
    <cacheField name="empCode" numFmtId="0">
      <sharedItems/>
    </cacheField>
    <cacheField name="sales executive" numFmtId="0">
      <sharedItems count="95">
        <s v="Aaron White"/>
        <s v="Adam Yellow"/>
        <s v="Aidan Black"/>
        <s v="Alex Brown"/>
        <s v="Alice Green"/>
        <s v="Amy Blue"/>
        <s v="Andrew White"/>
        <s v="Angela Green"/>
        <s v="Anna Black"/>
        <s v="Aria Red"/>
        <s v="Ava Blue"/>
        <s v="Brandon Grey"/>
        <s v="Brian Yellow"/>
        <s v="Cameron White"/>
        <s v="Chloe Black"/>
        <s v="Chloe Red"/>
        <s v="Chris Yellow"/>
        <s v="Connor Red"/>
        <s v="Daniel Red"/>
        <s v="Daniel White"/>
        <s v="Derek Black"/>
        <s v="Diana White"/>
        <s v="Elijah Yellow"/>
        <s v="Ella Red"/>
        <s v="Ellie Yellow"/>
        <s v="Emily Black"/>
        <s v="Emily Blue"/>
        <s v="Emma Brown"/>
        <s v="Ethan Green"/>
        <s v="Evan Green"/>
        <s v="Fiona White"/>
        <s v="Grace Black"/>
        <s v="Hannah Blue"/>
        <s v="Helen Brown"/>
        <s v="Henry Grey"/>
        <s v="Isaac White"/>
        <s v="Jake White"/>
        <s v="James Blue"/>
        <s v="Jane Smith"/>
        <s v="John Doe"/>
        <s v="Julian Blue"/>
        <s v="Justin Red"/>
        <s v="Kai Blue"/>
        <s v="Karen White"/>
        <s v="Kate Red"/>
        <s v="Laura Red"/>
        <s v="Leah Green"/>
        <s v="Leo Black"/>
        <s v="Liam Blue"/>
        <s v="Liam Red"/>
        <s v="Lila Red"/>
        <s v="Lily Green"/>
        <s v="Lily Red"/>
        <s v="Linda Green"/>
        <s v="Lisa Black"/>
        <s v="Lucy Black"/>
        <s v="Luke Blue"/>
        <s v="Mark Green"/>
        <s v="Mary Grey"/>
        <s v="Mason Yellow"/>
        <s v="Matthew Blue"/>
        <s v="Max Blue"/>
        <s v="Maya Yellow"/>
        <s v="Megan Yellow"/>
        <s v="Mia Green"/>
        <s v="Michael White"/>
        <s v="Mila Yellow"/>
        <s v="Nathan Brown"/>
        <s v="Nicole Black"/>
        <s v="Nina Blue"/>
        <s v="Noah Green"/>
        <s v="Nora Blue"/>
        <s v="Olivia Black"/>
        <s v="Owen Black"/>
        <s v="Owen Red"/>
        <s v="Paige Green"/>
        <s v="Peter Green"/>
        <s v="Rachel Green"/>
        <s v="Robert Grey"/>
        <s v="Ruby Green"/>
        <s v="Ryan Blue"/>
        <s v="Samuel Green"/>
        <s v="Sarah Red"/>
        <s v="Scott Grey"/>
        <s v="Sean Black"/>
        <s v="Sean Yellow"/>
        <s v="Sophia Green"/>
        <s v="Sophie Red"/>
        <s v="Susan Black"/>
        <s v="Tom Yellow"/>
        <s v="Tyler Brown"/>
        <s v="Victor Blue"/>
        <s v="Victor Red"/>
        <s v="Zara Yellow"/>
        <s v="Zoe Black"/>
      </sharedItems>
    </cacheField>
    <cacheField name="region" numFmtId="0">
      <sharedItems count="4">
        <s v="West"/>
        <s v="East"/>
        <s v="North"/>
        <s v="South"/>
      </sharedItems>
    </cacheField>
    <cacheField name="day1" numFmtId="0">
      <sharedItems containsSemiMixedTypes="0" containsString="0" containsNumber="1" containsInteger="1" minValue="100" maxValue="700"/>
    </cacheField>
    <cacheField name="day2" numFmtId="0">
      <sharedItems containsSemiMixedTypes="0" containsString="0" containsNumber="1" containsInteger="1" minValue="200" maxValue="750"/>
    </cacheField>
    <cacheField name="day3" numFmtId="0">
      <sharedItems containsSemiMixedTypes="0" containsString="0" containsNumber="1" containsInteger="1" minValue="280" maxValue="720"/>
    </cacheField>
    <cacheField name="day4" numFmtId="0">
      <sharedItems containsSemiMixedTypes="0" containsString="0" containsNumber="1" containsInteger="1" minValue="50" maxValue="730"/>
    </cacheField>
    <cacheField name="day5" numFmtId="0">
      <sharedItems containsSemiMixedTypes="0" containsString="0" containsNumber="1" containsInteger="1" minValue="20" maxValue="740"/>
    </cacheField>
    <cacheField name="total sales" numFmtId="0">
      <sharedItems containsSemiMixedTypes="0" containsString="0" containsNumber="1" containsInteger="1" minValue="670" maxValue="3610"/>
    </cacheField>
    <cacheField name="target" numFmtId="0">
      <sharedItems containsSemiMixedTypes="0" containsString="0" containsNumber="1" containsInteger="1" minValue="5000" maxValue="5000"/>
    </cacheField>
    <cacheField name="target hit %" numFmtId="9">
      <sharedItems containsSemiMixedTypes="0" containsString="0" containsNumber="1" minValue="0.13400000000000001" maxValue="0.72199999999999998"/>
    </cacheField>
    <cacheField name="away from target %" numFmtId="9">
      <sharedItems containsSemiMixedTypes="0" containsString="0" containsNumber="1" minValue="0.27800000000000002" maxValue="0.86599999999999999"/>
    </cacheField>
  </cacheFields>
  <extLst>
    <ext xmlns:x14="http://schemas.microsoft.com/office/spreadsheetml/2009/9/main" uri="{725AE2AE-9491-48be-B2B4-4EB974FC3084}">
      <x14:pivotCacheDefinition pivotCacheId="21305073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5">
  <r>
    <s v="EMP032"/>
    <x v="0"/>
    <x v="0"/>
    <n v="350"/>
    <n v="360"/>
    <n v="370"/>
    <n v="380"/>
    <n v="390"/>
    <n v="1850"/>
    <n v="5000"/>
    <n v="0.37"/>
    <n v="0.63"/>
  </r>
  <r>
    <s v="EMP065"/>
    <x v="1"/>
    <x v="1"/>
    <n v="500"/>
    <n v="520"/>
    <n v="510"/>
    <n v="530"/>
    <n v="540"/>
    <n v="2600"/>
    <n v="5000"/>
    <n v="0.52"/>
    <n v="0.48"/>
  </r>
  <r>
    <s v="EMP077"/>
    <x v="2"/>
    <x v="0"/>
    <n v="100"/>
    <n v="200"/>
    <n v="300"/>
    <n v="50"/>
    <n v="20"/>
    <n v="670"/>
    <n v="5000"/>
    <n v="0.13400000000000001"/>
    <n v="0.86599999999999999"/>
  </r>
  <r>
    <s v="EMP003"/>
    <x v="3"/>
    <x v="0"/>
    <n v="550"/>
    <n v="500"/>
    <n v="470"/>
    <n v="480"/>
    <n v="490"/>
    <n v="2490"/>
    <n v="5000"/>
    <n v="0.498"/>
    <n v="0.502"/>
  </r>
  <r>
    <s v="EMP022"/>
    <x v="4"/>
    <x v="2"/>
    <n v="700"/>
    <n v="680"/>
    <n v="670"/>
    <n v="660"/>
    <n v="650"/>
    <n v="3360"/>
    <n v="5000"/>
    <n v="0.67200000000000004"/>
    <n v="0.32799999999999996"/>
  </r>
  <r>
    <s v="EMP058"/>
    <x v="5"/>
    <x v="3"/>
    <n v="460"/>
    <n v="470"/>
    <n v="480"/>
    <n v="490"/>
    <n v="500"/>
    <n v="2400"/>
    <n v="5000"/>
    <n v="0.48"/>
    <n v="0.52"/>
  </r>
  <r>
    <s v="EMP011"/>
    <x v="6"/>
    <x v="2"/>
    <n v="700"/>
    <n v="720"/>
    <n v="710"/>
    <n v="680"/>
    <n v="690"/>
    <n v="3500"/>
    <n v="5000"/>
    <n v="0.7"/>
    <n v="0.30000000000000004"/>
  </r>
  <r>
    <s v="EMP045"/>
    <x v="7"/>
    <x v="3"/>
    <n v="460"/>
    <n v="470"/>
    <n v="480"/>
    <n v="490"/>
    <n v="500"/>
    <n v="2400"/>
    <n v="5000"/>
    <n v="0.48"/>
    <n v="0.52"/>
  </r>
  <r>
    <s v="EMP049"/>
    <x v="8"/>
    <x v="3"/>
    <n v="410"/>
    <n v="420"/>
    <n v="430"/>
    <n v="440"/>
    <n v="450"/>
    <n v="2150"/>
    <n v="5000"/>
    <n v="0.43"/>
    <n v="0.57000000000000006"/>
  </r>
  <r>
    <s v="EMP090"/>
    <x v="9"/>
    <x v="0"/>
    <n v="300"/>
    <n v="310"/>
    <n v="320"/>
    <n v="330"/>
    <n v="340"/>
    <n v="1600"/>
    <n v="5000"/>
    <n v="0.32"/>
    <n v="0.67999999999999994"/>
  </r>
  <r>
    <s v="EMP084"/>
    <x v="10"/>
    <x v="1"/>
    <n v="620"/>
    <n v="630"/>
    <n v="640"/>
    <n v="650"/>
    <n v="660"/>
    <n v="3200"/>
    <n v="5000"/>
    <n v="0.64"/>
    <n v="0.36"/>
  </r>
  <r>
    <s v="EMP042"/>
    <x v="11"/>
    <x v="2"/>
    <n v="480"/>
    <n v="470"/>
    <n v="460"/>
    <n v="450"/>
    <n v="440"/>
    <n v="2300"/>
    <n v="5000"/>
    <n v="0.46"/>
    <n v="0.54"/>
  </r>
  <r>
    <s v="EMP048"/>
    <x v="12"/>
    <x v="0"/>
    <n v="350"/>
    <n v="340"/>
    <n v="330"/>
    <n v="320"/>
    <n v="310"/>
    <n v="1650"/>
    <n v="5000"/>
    <n v="0.33"/>
    <n v="0.66999999999999993"/>
  </r>
  <r>
    <s v="EMP050"/>
    <x v="13"/>
    <x v="2"/>
    <n v="550"/>
    <n v="560"/>
    <n v="570"/>
    <n v="580"/>
    <n v="590"/>
    <n v="2850"/>
    <n v="5000"/>
    <n v="0.56999999999999995"/>
    <n v="0.43000000000000005"/>
  </r>
  <r>
    <s v="EMP031"/>
    <x v="14"/>
    <x v="1"/>
    <n v="600"/>
    <n v="580"/>
    <n v="590"/>
    <n v="570"/>
    <n v="560"/>
    <n v="2900"/>
    <n v="5000"/>
    <n v="0.57999999999999996"/>
    <n v="0.42000000000000004"/>
  </r>
  <r>
    <s v="EMP070"/>
    <x v="15"/>
    <x v="3"/>
    <n v="540"/>
    <n v="550"/>
    <n v="530"/>
    <n v="520"/>
    <n v="510"/>
    <n v="2650"/>
    <n v="5000"/>
    <n v="0.53"/>
    <n v="0.47"/>
  </r>
  <r>
    <s v="EMP017"/>
    <x v="16"/>
    <x v="3"/>
    <n v="480"/>
    <n v="470"/>
    <n v="460"/>
    <n v="450"/>
    <n v="440"/>
    <n v="2300"/>
    <n v="5000"/>
    <n v="0.46"/>
    <n v="0.54"/>
  </r>
  <r>
    <s v="EMP075"/>
    <x v="17"/>
    <x v="2"/>
    <n v="450"/>
    <n v="440"/>
    <n v="430"/>
    <n v="420"/>
    <n v="410"/>
    <n v="2150"/>
    <n v="5000"/>
    <n v="0.43"/>
    <n v="0.57000000000000006"/>
  </r>
  <r>
    <s v="EMP095"/>
    <x v="18"/>
    <x v="2"/>
    <n v="380"/>
    <n v="390"/>
    <n v="400"/>
    <n v="410"/>
    <n v="420"/>
    <n v="2000"/>
    <n v="5000"/>
    <n v="0.4"/>
    <n v="0.6"/>
  </r>
  <r>
    <s v="EMP019"/>
    <x v="19"/>
    <x v="2"/>
    <n v="550"/>
    <n v="560"/>
    <n v="570"/>
    <n v="580"/>
    <n v="590"/>
    <n v="2850"/>
    <n v="5000"/>
    <n v="0.56999999999999995"/>
    <n v="0.43000000000000005"/>
  </r>
  <r>
    <s v="EMP055"/>
    <x v="20"/>
    <x v="0"/>
    <n v="480"/>
    <n v="470"/>
    <n v="460"/>
    <n v="450"/>
    <n v="440"/>
    <n v="2300"/>
    <n v="5000"/>
    <n v="0.46"/>
    <n v="0.54"/>
  </r>
  <r>
    <s v="EMP025"/>
    <x v="21"/>
    <x v="3"/>
    <n v="500"/>
    <n v="520"/>
    <n v="510"/>
    <n v="530"/>
    <n v="540"/>
    <n v="2600"/>
    <n v="5000"/>
    <n v="0.52"/>
    <n v="0.48"/>
  </r>
  <r>
    <s v="EMP091"/>
    <x v="22"/>
    <x v="2"/>
    <n v="700"/>
    <n v="750"/>
    <n v="720"/>
    <n v="710"/>
    <n v="730"/>
    <n v="3610"/>
    <n v="5000"/>
    <n v="0.72199999999999998"/>
    <n v="0.27800000000000002"/>
  </r>
  <r>
    <s v="EMP064"/>
    <x v="23"/>
    <x v="2"/>
    <n v="380"/>
    <n v="390"/>
    <n v="400"/>
    <n v="410"/>
    <n v="420"/>
    <n v="2000"/>
    <n v="5000"/>
    <n v="0.4"/>
    <n v="0.6"/>
  </r>
  <r>
    <s v="EMP037"/>
    <x v="24"/>
    <x v="3"/>
    <n v="300"/>
    <n v="310"/>
    <n v="320"/>
    <n v="330"/>
    <n v="340"/>
    <n v="1600"/>
    <n v="5000"/>
    <n v="0.32"/>
    <n v="0.67999999999999994"/>
  </r>
  <r>
    <s v="EMP082"/>
    <x v="25"/>
    <x v="3"/>
    <n v="460"/>
    <n v="470"/>
    <n v="480"/>
    <n v="490"/>
    <n v="500"/>
    <n v="2400"/>
    <n v="5000"/>
    <n v="0.48"/>
    <n v="0.52"/>
  </r>
  <r>
    <s v="EMP008"/>
    <x v="26"/>
    <x v="3"/>
    <n v="500"/>
    <n v="520"/>
    <n v="510"/>
    <n v="530"/>
    <n v="540"/>
    <n v="2600"/>
    <n v="5000"/>
    <n v="0.52"/>
    <n v="0.48"/>
  </r>
  <r>
    <s v="EMP018"/>
    <x v="27"/>
    <x v="0"/>
    <n v="500"/>
    <n v="510"/>
    <n v="520"/>
    <n v="530"/>
    <n v="540"/>
    <n v="2600"/>
    <n v="5000"/>
    <n v="0.52"/>
    <n v="0.48"/>
  </r>
  <r>
    <s v="EMP057"/>
    <x v="28"/>
    <x v="1"/>
    <n v="350"/>
    <n v="340"/>
    <n v="330"/>
    <n v="320"/>
    <n v="310"/>
    <n v="1650"/>
    <n v="5000"/>
    <n v="0.33"/>
    <n v="0.66999999999999993"/>
  </r>
  <r>
    <s v="EMP073"/>
    <x v="29"/>
    <x v="0"/>
    <n v="550"/>
    <n v="560"/>
    <n v="570"/>
    <n v="580"/>
    <n v="590"/>
    <n v="2850"/>
    <n v="5000"/>
    <n v="0.56999999999999995"/>
    <n v="0.43000000000000005"/>
  </r>
  <r>
    <s v="EMP056"/>
    <x v="30"/>
    <x v="2"/>
    <n v="500"/>
    <n v="510"/>
    <n v="520"/>
    <n v="530"/>
    <n v="540"/>
    <n v="2600"/>
    <n v="5000"/>
    <n v="0.52"/>
    <n v="0.48"/>
  </r>
  <r>
    <s v="EMP066"/>
    <x v="31"/>
    <x v="3"/>
    <n v="700"/>
    <n v="750"/>
    <n v="720"/>
    <n v="710"/>
    <n v="730"/>
    <n v="3610"/>
    <n v="5000"/>
    <n v="0.72199999999999998"/>
    <n v="0.27800000000000002"/>
  </r>
  <r>
    <s v="EMP074"/>
    <x v="32"/>
    <x v="3"/>
    <n v="300"/>
    <n v="310"/>
    <n v="320"/>
    <n v="330"/>
    <n v="340"/>
    <n v="1600"/>
    <n v="5000"/>
    <n v="0.32"/>
    <n v="0.67999999999999994"/>
  </r>
  <r>
    <s v="EMP027"/>
    <x v="33"/>
    <x v="1"/>
    <n v="300"/>
    <n v="320"/>
    <n v="310"/>
    <n v="300"/>
    <n v="310"/>
    <n v="1540"/>
    <n v="5000"/>
    <n v="0.308"/>
    <n v="0.69199999999999995"/>
  </r>
  <r>
    <s v="EMP021"/>
    <x v="34"/>
    <x v="3"/>
    <n v="320"/>
    <n v="310"/>
    <n v="300"/>
    <n v="290"/>
    <n v="280"/>
    <n v="1500"/>
    <n v="5000"/>
    <n v="0.3"/>
    <n v="0.7"/>
  </r>
  <r>
    <s v="EMP061"/>
    <x v="35"/>
    <x v="1"/>
    <n v="550"/>
    <n v="560"/>
    <n v="570"/>
    <n v="580"/>
    <n v="590"/>
    <n v="2850"/>
    <n v="5000"/>
    <n v="0.56999999999999995"/>
    <n v="0.43000000000000005"/>
  </r>
  <r>
    <s v="EMP067"/>
    <x v="36"/>
    <x v="2"/>
    <n v="600"/>
    <n v="610"/>
    <n v="620"/>
    <n v="630"/>
    <n v="640"/>
    <n v="3100"/>
    <n v="5000"/>
    <n v="0.62"/>
    <n v="0.38"/>
  </r>
  <r>
    <s v="EMP015"/>
    <x v="37"/>
    <x v="2"/>
    <n v="600"/>
    <n v="580"/>
    <n v="590"/>
    <n v="570"/>
    <n v="560"/>
    <n v="2900"/>
    <n v="5000"/>
    <n v="0.57999999999999996"/>
    <n v="0.42000000000000004"/>
  </r>
  <r>
    <s v="EMP002"/>
    <x v="38"/>
    <x v="1"/>
    <n v="600"/>
    <n v="550"/>
    <n v="500"/>
    <n v="450"/>
    <n v="400"/>
    <n v="2500"/>
    <n v="5000"/>
    <n v="0.5"/>
    <n v="0.5"/>
  </r>
  <r>
    <s v="EMP001"/>
    <x v="39"/>
    <x v="2"/>
    <n v="500"/>
    <n v="450"/>
    <n v="400"/>
    <n v="300"/>
    <n v="350"/>
    <n v="2000"/>
    <n v="5000"/>
    <n v="0.4"/>
    <n v="0.6"/>
  </r>
  <r>
    <s v="EMP046"/>
    <x v="40"/>
    <x v="2"/>
    <n v="700"/>
    <n v="710"/>
    <n v="720"/>
    <n v="730"/>
    <n v="740"/>
    <n v="3600"/>
    <n v="5000"/>
    <n v="0.72"/>
    <n v="0.28000000000000003"/>
  </r>
  <r>
    <s v="EMP026"/>
    <x v="41"/>
    <x v="2"/>
    <n v="600"/>
    <n v="610"/>
    <n v="620"/>
    <n v="630"/>
    <n v="640"/>
    <n v="3100"/>
    <n v="5000"/>
    <n v="0.62"/>
    <n v="0.38"/>
  </r>
  <r>
    <s v="EMP079"/>
    <x v="42"/>
    <x v="2"/>
    <n v="480"/>
    <n v="470"/>
    <n v="460"/>
    <n v="450"/>
    <n v="440"/>
    <n v="2300"/>
    <n v="5000"/>
    <n v="0.46"/>
    <n v="0.54"/>
  </r>
  <r>
    <s v="EMP043"/>
    <x v="43"/>
    <x v="1"/>
    <n v="500"/>
    <n v="510"/>
    <n v="520"/>
    <n v="530"/>
    <n v="540"/>
    <n v="2600"/>
    <n v="5000"/>
    <n v="0.52"/>
    <n v="0.48"/>
  </r>
  <r>
    <s v="EMP016"/>
    <x v="44"/>
    <x v="1"/>
    <n v="350"/>
    <n v="360"/>
    <n v="370"/>
    <n v="380"/>
    <n v="390"/>
    <n v="1850"/>
    <n v="5000"/>
    <n v="0.37"/>
    <n v="0.63"/>
  </r>
  <r>
    <s v="EMP035"/>
    <x v="45"/>
    <x v="1"/>
    <n v="620"/>
    <n v="610"/>
    <n v="600"/>
    <n v="590"/>
    <n v="580"/>
    <n v="3000"/>
    <n v="5000"/>
    <n v="0.6"/>
    <n v="0.4"/>
  </r>
  <r>
    <s v="EMP078"/>
    <x v="46"/>
    <x v="3"/>
    <n v="600"/>
    <n v="610"/>
    <n v="620"/>
    <n v="630"/>
    <n v="640"/>
    <n v="3100"/>
    <n v="5000"/>
    <n v="0.62"/>
    <n v="0.38"/>
  </r>
  <r>
    <s v="EMP097"/>
    <x v="47"/>
    <x v="3"/>
    <n v="700"/>
    <n v="750"/>
    <n v="720"/>
    <n v="710"/>
    <n v="730"/>
    <n v="3610"/>
    <n v="5000"/>
    <n v="0.72199999999999998"/>
    <n v="0.27800000000000002"/>
  </r>
  <r>
    <s v="EMP034"/>
    <x v="48"/>
    <x v="2"/>
    <n v="500"/>
    <n v="490"/>
    <n v="480"/>
    <n v="470"/>
    <n v="460"/>
    <n v="2400"/>
    <n v="5000"/>
    <n v="0.48"/>
    <n v="0.52"/>
  </r>
  <r>
    <s v="EMP085"/>
    <x v="49"/>
    <x v="0"/>
    <n v="350"/>
    <n v="340"/>
    <n v="330"/>
    <n v="320"/>
    <n v="310"/>
    <n v="1650"/>
    <n v="5000"/>
    <n v="0.33"/>
    <n v="0.66999999999999993"/>
  </r>
  <r>
    <s v="EMP080"/>
    <x v="50"/>
    <x v="1"/>
    <n v="500"/>
    <n v="510"/>
    <n v="520"/>
    <n v="530"/>
    <n v="540"/>
    <n v="2600"/>
    <n v="5000"/>
    <n v="0.52"/>
    <n v="0.48"/>
  </r>
  <r>
    <s v="EMP088"/>
    <x v="51"/>
    <x v="1"/>
    <n v="400"/>
    <n v="410"/>
    <n v="420"/>
    <n v="430"/>
    <n v="440"/>
    <n v="2100"/>
    <n v="5000"/>
    <n v="0.42"/>
    <n v="0.58000000000000007"/>
  </r>
  <r>
    <s v="EMP041"/>
    <x v="52"/>
    <x v="3"/>
    <n v="600"/>
    <n v="610"/>
    <n v="620"/>
    <n v="630"/>
    <n v="640"/>
    <n v="3100"/>
    <n v="5000"/>
    <n v="0.62"/>
    <n v="0.38"/>
  </r>
  <r>
    <s v="EMP004"/>
    <x v="53"/>
    <x v="3"/>
    <n v="300"/>
    <n v="320"/>
    <n v="310"/>
    <n v="290"/>
    <n v="280"/>
    <n v="1500"/>
    <n v="5000"/>
    <n v="0.3"/>
    <n v="0.7"/>
  </r>
  <r>
    <s v="EMP012"/>
    <x v="54"/>
    <x v="3"/>
    <n v="300"/>
    <n v="310"/>
    <n v="320"/>
    <n v="330"/>
    <n v="340"/>
    <n v="1600"/>
    <n v="5000"/>
    <n v="0.32"/>
    <n v="0.67999999999999994"/>
  </r>
  <r>
    <s v="EMP092"/>
    <x v="55"/>
    <x v="1"/>
    <n v="500"/>
    <n v="520"/>
    <n v="510"/>
    <n v="530"/>
    <n v="540"/>
    <n v="2600"/>
    <n v="5000"/>
    <n v="0.52"/>
    <n v="0.48"/>
  </r>
  <r>
    <s v="EMP063"/>
    <x v="56"/>
    <x v="0"/>
    <n v="450"/>
    <n v="440"/>
    <n v="430"/>
    <n v="420"/>
    <n v="410"/>
    <n v="2150"/>
    <n v="5000"/>
    <n v="0.43"/>
    <n v="0.57000000000000006"/>
  </r>
  <r>
    <s v="EMP051"/>
    <x v="57"/>
    <x v="0"/>
    <n v="400"/>
    <n v="410"/>
    <n v="420"/>
    <n v="430"/>
    <n v="440"/>
    <n v="2100"/>
    <n v="5000"/>
    <n v="0.42"/>
    <n v="0.58000000000000007"/>
  </r>
  <r>
    <s v="EMP014"/>
    <x v="58"/>
    <x v="0"/>
    <n v="540"/>
    <n v="550"/>
    <n v="530"/>
    <n v="520"/>
    <n v="510"/>
    <n v="2650"/>
    <n v="5000"/>
    <n v="0.53"/>
    <n v="0.47"/>
  </r>
  <r>
    <s v="EMP071"/>
    <x v="59"/>
    <x v="2"/>
    <n v="500"/>
    <n v="490"/>
    <n v="480"/>
    <n v="470"/>
    <n v="460"/>
    <n v="2400"/>
    <n v="5000"/>
    <n v="0.48"/>
    <n v="0.52"/>
  </r>
  <r>
    <s v="EMP023"/>
    <x v="60"/>
    <x v="1"/>
    <n v="400"/>
    <n v="390"/>
    <n v="380"/>
    <n v="370"/>
    <n v="360"/>
    <n v="1900"/>
    <n v="5000"/>
    <n v="0.38"/>
    <n v="0.62"/>
  </r>
  <r>
    <s v="EMP099"/>
    <x v="61"/>
    <x v="1"/>
    <n v="300"/>
    <n v="310"/>
    <n v="320"/>
    <n v="330"/>
    <n v="340"/>
    <n v="1600"/>
    <n v="5000"/>
    <n v="0.32"/>
    <n v="0.67999999999999994"/>
  </r>
  <r>
    <s v="EMP086"/>
    <x v="62"/>
    <x v="3"/>
    <n v="410"/>
    <n v="420"/>
    <n v="430"/>
    <n v="440"/>
    <n v="450"/>
    <n v="2150"/>
    <n v="5000"/>
    <n v="0.43"/>
    <n v="0.57000000000000006"/>
  </r>
  <r>
    <s v="EMP029"/>
    <x v="63"/>
    <x v="3"/>
    <n v="550"/>
    <n v="540"/>
    <n v="530"/>
    <n v="520"/>
    <n v="510"/>
    <n v="2650"/>
    <n v="5000"/>
    <n v="0.53"/>
    <n v="0.47"/>
  </r>
  <r>
    <s v="EMP062"/>
    <x v="64"/>
    <x v="3"/>
    <n v="300"/>
    <n v="320"/>
    <n v="310"/>
    <n v="330"/>
    <n v="340"/>
    <n v="1600"/>
    <n v="5000"/>
    <n v="0.32"/>
    <n v="0.67999999999999994"/>
  </r>
  <r>
    <s v="EMP005"/>
    <x v="65"/>
    <x v="2"/>
    <n v="700"/>
    <n v="750"/>
    <n v="720"/>
    <n v="710"/>
    <n v="730"/>
    <n v="3610"/>
    <n v="5000"/>
    <n v="0.72199999999999998"/>
    <n v="0.27800000000000002"/>
  </r>
  <r>
    <s v="EMP096"/>
    <x v="66"/>
    <x v="1"/>
    <n v="500"/>
    <n v="510"/>
    <n v="520"/>
    <n v="530"/>
    <n v="540"/>
    <n v="2600"/>
    <n v="5000"/>
    <n v="0.52"/>
    <n v="0.48"/>
  </r>
  <r>
    <s v="EMP036"/>
    <x v="67"/>
    <x v="0"/>
    <n v="550"/>
    <n v="560"/>
    <n v="570"/>
    <n v="580"/>
    <n v="590"/>
    <n v="2850"/>
    <n v="5000"/>
    <n v="0.56999999999999995"/>
    <n v="0.43000000000000005"/>
  </r>
  <r>
    <s v="EMP024"/>
    <x v="68"/>
    <x v="0"/>
    <n v="450"/>
    <n v="460"/>
    <n v="470"/>
    <n v="480"/>
    <n v="490"/>
    <n v="2350"/>
    <n v="5000"/>
    <n v="0.47"/>
    <n v="0.53"/>
  </r>
  <r>
    <s v="EMP052"/>
    <x v="69"/>
    <x v="2"/>
    <n v="600"/>
    <n v="590"/>
    <n v="580"/>
    <n v="570"/>
    <n v="560"/>
    <n v="2900"/>
    <n v="5000"/>
    <n v="0.57999999999999996"/>
    <n v="0.42000000000000004"/>
  </r>
  <r>
    <s v="EMP083"/>
    <x v="70"/>
    <x v="2"/>
    <n v="700"/>
    <n v="710"/>
    <n v="720"/>
    <n v="730"/>
    <n v="740"/>
    <n v="3600"/>
    <n v="5000"/>
    <n v="0.72"/>
    <n v="0.28000000000000003"/>
  </r>
  <r>
    <s v="EMP094"/>
    <x v="71"/>
    <x v="0"/>
    <n v="450"/>
    <n v="440"/>
    <n v="430"/>
    <n v="420"/>
    <n v="410"/>
    <n v="2150"/>
    <n v="5000"/>
    <n v="0.43"/>
    <n v="0.57000000000000006"/>
  </r>
  <r>
    <s v="EMP020"/>
    <x v="72"/>
    <x v="1"/>
    <n v="450"/>
    <n v="430"/>
    <n v="440"/>
    <n v="420"/>
    <n v="410"/>
    <n v="2150"/>
    <n v="5000"/>
    <n v="0.43"/>
    <n v="0.57000000000000006"/>
  </r>
  <r>
    <s v="EMP087"/>
    <x v="73"/>
    <x v="2"/>
    <n v="550"/>
    <n v="560"/>
    <n v="570"/>
    <n v="580"/>
    <n v="590"/>
    <n v="2850"/>
    <n v="5000"/>
    <n v="0.56999999999999995"/>
    <n v="0.43000000000000005"/>
  </r>
  <r>
    <s v="EMP053"/>
    <x v="74"/>
    <x v="1"/>
    <n v="300"/>
    <n v="310"/>
    <n v="320"/>
    <n v="330"/>
    <n v="340"/>
    <n v="1600"/>
    <n v="5000"/>
    <n v="0.32"/>
    <n v="0.67999999999999994"/>
  </r>
  <r>
    <s v="EMP039"/>
    <x v="75"/>
    <x v="1"/>
    <n v="380"/>
    <n v="390"/>
    <n v="400"/>
    <n v="410"/>
    <n v="420"/>
    <n v="2000"/>
    <n v="5000"/>
    <n v="0.4"/>
    <n v="0.6"/>
  </r>
  <r>
    <s v="EMP013"/>
    <x v="76"/>
    <x v="1"/>
    <n v="400"/>
    <n v="410"/>
    <n v="420"/>
    <n v="430"/>
    <n v="440"/>
    <n v="2100"/>
    <n v="5000"/>
    <n v="0.42"/>
    <n v="0.58000000000000007"/>
  </r>
  <r>
    <s v="EMP033"/>
    <x v="77"/>
    <x v="3"/>
    <n v="400"/>
    <n v="410"/>
    <n v="420"/>
    <n v="430"/>
    <n v="440"/>
    <n v="2100"/>
    <n v="5000"/>
    <n v="0.42"/>
    <n v="0.58000000000000007"/>
  </r>
  <r>
    <s v="EMP007"/>
    <x v="78"/>
    <x v="0"/>
    <n v="380"/>
    <n v="390"/>
    <n v="400"/>
    <n v="410"/>
    <n v="420"/>
    <n v="2000"/>
    <n v="5000"/>
    <n v="0.4"/>
    <n v="0.6"/>
  </r>
  <r>
    <s v="EMP098"/>
    <x v="79"/>
    <x v="2"/>
    <n v="600"/>
    <n v="610"/>
    <n v="620"/>
    <n v="630"/>
    <n v="640"/>
    <n v="3100"/>
    <n v="5000"/>
    <n v="0.62"/>
    <n v="0.38"/>
  </r>
  <r>
    <s v="EMP069"/>
    <x v="80"/>
    <x v="0"/>
    <n v="400"/>
    <n v="410"/>
    <n v="420"/>
    <n v="430"/>
    <n v="440"/>
    <n v="2100"/>
    <n v="5000"/>
    <n v="0.42"/>
    <n v="0.58000000000000007"/>
  </r>
  <r>
    <s v="EMP028"/>
    <x v="81"/>
    <x v="0"/>
    <n v="380"/>
    <n v="390"/>
    <n v="400"/>
    <n v="410"/>
    <n v="420"/>
    <n v="2000"/>
    <n v="5000"/>
    <n v="0.4"/>
    <n v="0.6"/>
  </r>
  <r>
    <s v="EMP010"/>
    <x v="82"/>
    <x v="1"/>
    <n v="460"/>
    <n v="470"/>
    <n v="480"/>
    <n v="490"/>
    <n v="500"/>
    <n v="2400"/>
    <n v="5000"/>
    <n v="0.48"/>
    <n v="0.52"/>
  </r>
  <r>
    <s v="EMP030"/>
    <x v="83"/>
    <x v="2"/>
    <n v="450"/>
    <n v="430"/>
    <n v="440"/>
    <n v="450"/>
    <n v="460"/>
    <n v="2230"/>
    <n v="5000"/>
    <n v="0.44600000000000001"/>
    <n v="0.55400000000000005"/>
  </r>
  <r>
    <s v="EMP038"/>
    <x v="84"/>
    <x v="2"/>
    <n v="450"/>
    <n v="440"/>
    <n v="430"/>
    <n v="420"/>
    <n v="410"/>
    <n v="2150"/>
    <n v="5000"/>
    <n v="0.43"/>
    <n v="0.57000000000000006"/>
  </r>
  <r>
    <s v="EMP081"/>
    <x v="85"/>
    <x v="0"/>
    <n v="300"/>
    <n v="290"/>
    <n v="280"/>
    <n v="270"/>
    <n v="260"/>
    <n v="1400"/>
    <n v="5000"/>
    <n v="0.28000000000000003"/>
    <n v="0.72"/>
  </r>
  <r>
    <s v="EMP068"/>
    <x v="86"/>
    <x v="1"/>
    <n v="300"/>
    <n v="310"/>
    <n v="320"/>
    <n v="330"/>
    <n v="340"/>
    <n v="1600"/>
    <n v="5000"/>
    <n v="0.32"/>
    <n v="0.67999999999999994"/>
  </r>
  <r>
    <s v="EMP047"/>
    <x v="87"/>
    <x v="1"/>
    <n v="620"/>
    <n v="630"/>
    <n v="640"/>
    <n v="650"/>
    <n v="660"/>
    <n v="3200"/>
    <n v="5000"/>
    <n v="0.64"/>
    <n v="0.36"/>
  </r>
  <r>
    <s v="EMP006"/>
    <x v="88"/>
    <x v="1"/>
    <n v="450"/>
    <n v="440"/>
    <n v="430"/>
    <n v="420"/>
    <n v="410"/>
    <n v="2150"/>
    <n v="5000"/>
    <n v="0.43"/>
    <n v="0.57000000000000006"/>
  </r>
  <r>
    <s v="EMP009"/>
    <x v="89"/>
    <x v="2"/>
    <n v="620"/>
    <n v="610"/>
    <n v="600"/>
    <n v="630"/>
    <n v="640"/>
    <n v="3100"/>
    <n v="5000"/>
    <n v="0.62"/>
    <n v="0.38"/>
  </r>
  <r>
    <s v="EMP044"/>
    <x v="90"/>
    <x v="0"/>
    <n v="300"/>
    <n v="290"/>
    <n v="280"/>
    <n v="270"/>
    <n v="260"/>
    <n v="1400"/>
    <n v="5000"/>
    <n v="0.28000000000000003"/>
    <n v="0.72"/>
  </r>
  <r>
    <s v="EMP040"/>
    <x v="91"/>
    <x v="0"/>
    <n v="700"/>
    <n v="750"/>
    <n v="720"/>
    <n v="710"/>
    <n v="730"/>
    <n v="3610"/>
    <n v="5000"/>
    <n v="0.72199999999999998"/>
    <n v="0.27800000000000002"/>
  </r>
  <r>
    <s v="EMP059"/>
    <x v="92"/>
    <x v="0"/>
    <n v="700"/>
    <n v="680"/>
    <n v="690"/>
    <n v="700"/>
    <n v="710"/>
    <n v="3480"/>
    <n v="5000"/>
    <n v="0.69599999999999995"/>
    <n v="0.30400000000000005"/>
  </r>
  <r>
    <s v="EMP054"/>
    <x v="93"/>
    <x v="3"/>
    <n v="700"/>
    <n v="710"/>
    <n v="720"/>
    <n v="730"/>
    <n v="740"/>
    <n v="3600"/>
    <n v="5000"/>
    <n v="0.72"/>
    <n v="0.28000000000000003"/>
  </r>
  <r>
    <s v="EMP072"/>
    <x v="94"/>
    <x v="1"/>
    <n v="620"/>
    <n v="610"/>
    <n v="600"/>
    <n v="590"/>
    <n v="580"/>
    <n v="3000"/>
    <n v="5000"/>
    <n v="0.6"/>
    <n v="0.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E06A423-1B7B-4DCD-AAE9-969348F60B67}" name="PivotTable1"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 rowHeaderCaption="Sale Executive">
  <location ref="A3:B9" firstHeaderRow="1" firstDataRow="1" firstDataCol="1"/>
  <pivotFields count="12">
    <pivotField showAll="0"/>
    <pivotField axis="axisRow" showAll="0" measureFilter="1" sortType="ascending">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showAll="0">
      <items count="5">
        <item h="1" x="1"/>
        <item h="1" x="2"/>
        <item h="1" x="3"/>
        <item x="0"/>
        <item t="default"/>
      </items>
    </pivotField>
    <pivotField showAll="0"/>
    <pivotField showAll="0"/>
    <pivotField showAll="0"/>
    <pivotField showAll="0"/>
    <pivotField showAll="0"/>
    <pivotField dataField="1" showAll="0"/>
    <pivotField showAll="0"/>
    <pivotField numFmtId="9" showAll="0"/>
    <pivotField numFmtId="9" showAll="0"/>
  </pivotFields>
  <rowFields count="1">
    <field x="1"/>
  </rowFields>
  <rowItems count="6">
    <i>
      <x v="29"/>
    </i>
    <i>
      <x v="58"/>
    </i>
    <i>
      <x v="67"/>
    </i>
    <i>
      <x v="91"/>
    </i>
    <i>
      <x v="92"/>
    </i>
    <i t="grand">
      <x/>
    </i>
  </rowItems>
  <colItems count="1">
    <i/>
  </colItems>
  <dataFields count="1">
    <dataField name="total sales " fld="8" baseField="1" baseItem="0"/>
  </dataFields>
  <formats count="6">
    <format dxfId="29">
      <pivotArea type="all" dataOnly="0" outline="0" fieldPosition="0"/>
    </format>
    <format dxfId="28">
      <pivotArea outline="0" collapsedLevelsAreSubtotals="1" fieldPosition="0"/>
    </format>
    <format dxfId="27">
      <pivotArea field="1" type="button" dataOnly="0" labelOnly="1" outline="0" axis="axisRow" fieldPosition="0"/>
    </format>
    <format dxfId="26">
      <pivotArea dataOnly="0" labelOnly="1" fieldPosition="0">
        <references count="1">
          <reference field="1" count="5">
            <x v="10"/>
            <x v="14"/>
            <x v="45"/>
            <x v="87"/>
            <x v="94"/>
          </reference>
        </references>
      </pivotArea>
    </format>
    <format dxfId="25">
      <pivotArea dataOnly="0" labelOnly="1" grandRow="1" outline="0" fieldPosition="0"/>
    </format>
    <format dxfId="24">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69CF536-2E48-4951-A534-2E256FE3390F}" name="PivotTable4"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location ref="J3:K10" firstHeaderRow="1" firstDataRow="1" firstDataCol="1"/>
  <pivotFields count="12">
    <pivotField showAll="0"/>
    <pivotField axis="axisRow" showAll="0" measureFilter="1">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showAll="0">
      <items count="5">
        <item h="1" x="1"/>
        <item h="1" x="2"/>
        <item h="1" x="3"/>
        <item x="0"/>
        <item t="default"/>
      </items>
    </pivotField>
    <pivotField showAll="0"/>
    <pivotField showAll="0"/>
    <pivotField showAll="0"/>
    <pivotField showAll="0"/>
    <pivotField showAll="0"/>
    <pivotField showAll="0"/>
    <pivotField showAll="0"/>
    <pivotField numFmtId="9" showAll="0"/>
    <pivotField dataField="1" numFmtId="9" showAll="0"/>
  </pivotFields>
  <rowFields count="1">
    <field x="1"/>
  </rowFields>
  <rowItems count="7">
    <i>
      <x v="2"/>
    </i>
    <i>
      <x v="9"/>
    </i>
    <i>
      <x v="12"/>
    </i>
    <i>
      <x v="49"/>
    </i>
    <i>
      <x v="85"/>
    </i>
    <i>
      <x v="90"/>
    </i>
    <i t="grand">
      <x/>
    </i>
  </rowItems>
  <colItems count="1">
    <i/>
  </colItems>
  <dataFields count="1">
    <dataField name="Sum of away from target %" fld="11" baseField="0" baseItem="0" numFmtId="9"/>
  </dataFields>
  <formats count="6">
    <format dxfId="35">
      <pivotArea type="all" dataOnly="0" outline="0" fieldPosition="0"/>
    </format>
    <format dxfId="34">
      <pivotArea outline="0" collapsedLevelsAreSubtotals="1" fieldPosition="0"/>
    </format>
    <format dxfId="33">
      <pivotArea field="1" type="button" dataOnly="0" labelOnly="1" outline="0" axis="axisRow" fieldPosition="0"/>
    </format>
    <format dxfId="32">
      <pivotArea dataOnly="0" labelOnly="1" fieldPosition="0">
        <references count="1">
          <reference field="1" count="5">
            <x v="28"/>
            <x v="33"/>
            <x v="61"/>
            <x v="74"/>
            <x v="86"/>
          </reference>
        </references>
      </pivotArea>
    </format>
    <format dxfId="31">
      <pivotArea dataOnly="0" labelOnly="1" grandRow="1" outline="0" fieldPosition="0"/>
    </format>
    <format dxfId="3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9C3FB16-4C70-4FF2-859D-9869A8BB944F}" name="PivotTable3"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2">
  <location ref="G3:H9" firstHeaderRow="1" firstDataRow="1" firstDataCol="1"/>
  <pivotFields count="12">
    <pivotField showAll="0"/>
    <pivotField axis="axisRow" showAll="0" measureFilter="1">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showAll="0">
      <items count="5">
        <item h="1" x="1"/>
        <item h="1" x="2"/>
        <item h="1" x="3"/>
        <item x="0"/>
        <item t="default"/>
      </items>
    </pivotField>
    <pivotField showAll="0"/>
    <pivotField showAll="0"/>
    <pivotField showAll="0"/>
    <pivotField showAll="0"/>
    <pivotField showAll="0"/>
    <pivotField showAll="0"/>
    <pivotField showAll="0"/>
    <pivotField dataField="1" numFmtId="9" showAll="0"/>
    <pivotField numFmtId="9" showAll="0"/>
  </pivotFields>
  <rowFields count="1">
    <field x="1"/>
  </rowFields>
  <rowItems count="6">
    <i>
      <x v="29"/>
    </i>
    <i>
      <x v="58"/>
    </i>
    <i>
      <x v="67"/>
    </i>
    <i>
      <x v="91"/>
    </i>
    <i>
      <x v="92"/>
    </i>
    <i t="grand">
      <x/>
    </i>
  </rowItems>
  <colItems count="1">
    <i/>
  </colItems>
  <dataFields count="1">
    <dataField name="Sum of target hit %" fld="10" baseField="0" baseItem="0" numFmtId="9"/>
  </dataFields>
  <formats count="6">
    <format dxfId="41">
      <pivotArea type="all" dataOnly="0" outline="0" fieldPosition="0"/>
    </format>
    <format dxfId="40">
      <pivotArea outline="0" collapsedLevelsAreSubtotals="1" fieldPosition="0"/>
    </format>
    <format dxfId="39">
      <pivotArea field="1" type="button" dataOnly="0" labelOnly="1" outline="0" axis="axisRow" fieldPosition="0"/>
    </format>
    <format dxfId="38">
      <pivotArea dataOnly="0" labelOnly="1" fieldPosition="0">
        <references count="1">
          <reference field="1" count="5">
            <x v="22"/>
            <x v="31"/>
            <x v="47"/>
            <x v="65"/>
            <x v="91"/>
          </reference>
        </references>
      </pivotArea>
    </format>
    <format dxfId="37">
      <pivotArea dataOnly="0" labelOnly="1" grandRow="1" outline="0" fieldPosition="0"/>
    </format>
    <format dxfId="36">
      <pivotArea dataOnly="0" labelOnly="1" outline="0" axis="axisValues" fieldPosition="0"/>
    </format>
  </format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2"/>
          </reference>
        </references>
      </pivotArea>
    </chartFormat>
    <chartFormat chart="0" format="2">
      <pivotArea type="data" outline="0" fieldPosition="0">
        <references count="2">
          <reference field="4294967294" count="1" selected="0">
            <x v="0"/>
          </reference>
          <reference field="1" count="1" selected="0">
            <x v="31"/>
          </reference>
        </references>
      </pivotArea>
    </chartFormat>
    <chartFormat chart="0" format="3">
      <pivotArea type="data" outline="0" fieldPosition="0">
        <references count="2">
          <reference field="4294967294" count="1" selected="0">
            <x v="0"/>
          </reference>
          <reference field="1" count="1" selected="0">
            <x v="47"/>
          </reference>
        </references>
      </pivotArea>
    </chartFormat>
    <chartFormat chart="0" format="4">
      <pivotArea type="data" outline="0" fieldPosition="0">
        <references count="2">
          <reference field="4294967294" count="1" selected="0">
            <x v="0"/>
          </reference>
          <reference field="1" count="1" selected="0">
            <x v="65"/>
          </reference>
        </references>
      </pivotArea>
    </chartFormat>
    <chartFormat chart="0" format="5">
      <pivotArea type="data" outline="0" fieldPosition="0">
        <references count="2">
          <reference field="4294967294" count="1" selected="0">
            <x v="0"/>
          </reference>
          <reference field="1" count="1" selected="0">
            <x v="91"/>
          </reference>
        </references>
      </pivotArea>
    </chartFormat>
    <chartFormat chart="0" format="6">
      <pivotArea type="data" outline="0" fieldPosition="0">
        <references count="2">
          <reference field="4294967294" count="1" selected="0">
            <x v="0"/>
          </reference>
          <reference field="1" count="1" selected="0">
            <x v="46"/>
          </reference>
        </references>
      </pivotArea>
    </chartFormat>
    <chartFormat chart="0" format="7">
      <pivotArea type="data" outline="0" fieldPosition="0">
        <references count="2">
          <reference field="4294967294" count="1" selected="0">
            <x v="0"/>
          </reference>
          <reference field="1" count="1" selected="0">
            <x v="52"/>
          </reference>
        </references>
      </pivotArea>
    </chartFormat>
    <chartFormat chart="0" format="8">
      <pivotArea type="data" outline="0" fieldPosition="0">
        <references count="2">
          <reference field="4294967294" count="1" selected="0">
            <x v="0"/>
          </reference>
          <reference field="1" count="1" selected="0">
            <x v="93"/>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33F744-296C-466A-80A8-31B7DDE44774}" name="PivotTable2"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5" rowHeaderCaption="Sale Executive">
  <location ref="D3:E10" firstHeaderRow="1" firstDataRow="1" firstDataCol="1"/>
  <pivotFields count="12">
    <pivotField showAll="0"/>
    <pivotField axis="axisRow" showAll="0" measureFilter="1" sortType="ascending">
      <items count="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t="default"/>
      </items>
    </pivotField>
    <pivotField showAll="0">
      <items count="5">
        <item h="1" x="1"/>
        <item h="1" x="2"/>
        <item h="1" x="3"/>
        <item x="0"/>
        <item t="default"/>
      </items>
    </pivotField>
    <pivotField showAll="0"/>
    <pivotField showAll="0"/>
    <pivotField showAll="0"/>
    <pivotField showAll="0"/>
    <pivotField showAll="0"/>
    <pivotField dataField="1" showAll="0"/>
    <pivotField showAll="0"/>
    <pivotField numFmtId="9" showAll="0"/>
    <pivotField numFmtId="9" showAll="0"/>
  </pivotFields>
  <rowFields count="1">
    <field x="1"/>
  </rowFields>
  <rowItems count="7">
    <i>
      <x v="2"/>
    </i>
    <i>
      <x v="9"/>
    </i>
    <i>
      <x v="12"/>
    </i>
    <i>
      <x v="49"/>
    </i>
    <i>
      <x v="85"/>
    </i>
    <i>
      <x v="90"/>
    </i>
    <i t="grand">
      <x/>
    </i>
  </rowItems>
  <colItems count="1">
    <i/>
  </colItems>
  <dataFields count="1">
    <dataField name="total sales " fld="8" baseField="1" baseItem="0"/>
  </dataFields>
  <formats count="6">
    <format dxfId="47">
      <pivotArea type="all" dataOnly="0" outline="0" fieldPosition="0"/>
    </format>
    <format dxfId="46">
      <pivotArea outline="0" collapsedLevelsAreSubtotals="1" fieldPosition="0"/>
    </format>
    <format dxfId="45">
      <pivotArea field="1" type="button" dataOnly="0" labelOnly="1" outline="0" axis="axisRow" fieldPosition="0"/>
    </format>
    <format dxfId="44">
      <pivotArea dataOnly="0" labelOnly="1" fieldPosition="0">
        <references count="1">
          <reference field="1" count="5">
            <x v="2"/>
            <x v="34"/>
            <x v="53"/>
            <x v="85"/>
            <x v="90"/>
          </reference>
        </references>
      </pivotArea>
    </format>
    <format dxfId="43">
      <pivotArea dataOnly="0" labelOnly="1" grandRow="1" outline="0" fieldPosition="0"/>
    </format>
    <format dxfId="42">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AA230F7-F933-4173-9AE5-1CE81FC43DCF}" sourceName="region">
  <pivotTables>
    <pivotTable tabId="2" name="PivotTable1"/>
    <pivotTable tabId="2" name="PivotTable2"/>
    <pivotTable tabId="2" name="PivotTable3"/>
    <pivotTable tabId="2" name="PivotTable4"/>
  </pivotTables>
  <data>
    <tabular pivotCacheId="2130507318">
      <items count="4">
        <i x="1"/>
        <i x="2"/>
        <i x="3"/>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D8A8B1A-C888-4E1F-A1EE-BDC008000347}" cache="Slicer_region" caption="region" columnCount="4" showCaption="0" style="Slicer Style 1"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7944B-614B-443B-A220-4A3AE7C65502}">
  <sheetPr codeName="Sheet1"/>
  <dimension ref="A1:O27"/>
  <sheetViews>
    <sheetView showGridLines="0" tabSelected="1" workbookViewId="0">
      <selection activeCell="D26" sqref="D26"/>
    </sheetView>
  </sheetViews>
  <sheetFormatPr defaultRowHeight="15" x14ac:dyDescent="0.25"/>
  <cols>
    <col min="1" max="1" width="28.140625" customWidth="1"/>
    <col min="2" max="2" width="18.85546875" customWidth="1"/>
    <col min="3" max="3" width="5" customWidth="1"/>
    <col min="4" max="4" width="35.5703125" customWidth="1"/>
    <col min="5" max="5" width="13.42578125" customWidth="1"/>
    <col min="6" max="6" width="5.5703125" customWidth="1"/>
    <col min="7" max="7" width="31.5703125" customWidth="1"/>
    <col min="8" max="8" width="18.140625" bestFit="1" customWidth="1"/>
    <col min="9" max="9" width="5.42578125" customWidth="1"/>
    <col min="10" max="10" width="27.42578125" customWidth="1"/>
    <col min="11" max="11" width="25" bestFit="1" customWidth="1"/>
  </cols>
  <sheetData>
    <row r="1" spans="1:15" x14ac:dyDescent="0.25">
      <c r="A1" s="3"/>
      <c r="B1" s="3"/>
      <c r="C1" s="3"/>
      <c r="D1" s="3"/>
      <c r="E1" s="3"/>
      <c r="F1" s="3"/>
      <c r="G1" s="3"/>
      <c r="H1" s="3"/>
      <c r="I1" s="3"/>
      <c r="J1" s="3"/>
      <c r="K1" s="3"/>
      <c r="L1" s="3"/>
      <c r="M1" s="3"/>
      <c r="N1" s="3"/>
      <c r="O1" s="3"/>
    </row>
    <row r="2" spans="1:15" ht="58.5" customHeight="1" x14ac:dyDescent="0.25">
      <c r="A2" s="3"/>
      <c r="B2" s="4" t="b">
        <v>1</v>
      </c>
      <c r="C2" s="3"/>
      <c r="D2" s="3"/>
      <c r="E2" s="4" t="b">
        <v>1</v>
      </c>
      <c r="F2" s="3"/>
      <c r="G2" s="3"/>
      <c r="H2" s="4" t="b">
        <v>1</v>
      </c>
      <c r="I2" s="3"/>
      <c r="J2" s="3"/>
      <c r="K2" s="4" t="b">
        <v>1</v>
      </c>
      <c r="L2" s="3"/>
      <c r="M2" s="3"/>
      <c r="N2" s="3"/>
      <c r="O2" s="3"/>
    </row>
    <row r="3" spans="1:15" x14ac:dyDescent="0.25">
      <c r="A3" s="3" t="s">
        <v>207</v>
      </c>
      <c r="B3" s="3" t="s">
        <v>208</v>
      </c>
      <c r="C3" s="3"/>
      <c r="D3" s="3" t="s">
        <v>207</v>
      </c>
      <c r="E3" s="3" t="s">
        <v>208</v>
      </c>
      <c r="F3" s="3"/>
      <c r="G3" s="3" t="s">
        <v>209</v>
      </c>
      <c r="H3" s="3" t="s">
        <v>210</v>
      </c>
      <c r="I3" s="3"/>
      <c r="J3" s="3" t="s">
        <v>209</v>
      </c>
      <c r="K3" s="3" t="s">
        <v>211</v>
      </c>
      <c r="L3" s="3"/>
      <c r="M3" s="3"/>
      <c r="N3" s="3"/>
      <c r="O3" s="3"/>
    </row>
    <row r="4" spans="1:15" x14ac:dyDescent="0.25">
      <c r="A4" s="5" t="s">
        <v>75</v>
      </c>
      <c r="B4" s="7">
        <v>2850</v>
      </c>
      <c r="C4" s="3"/>
      <c r="D4" s="5" t="s">
        <v>19</v>
      </c>
      <c r="E4" s="7">
        <v>670</v>
      </c>
      <c r="F4" s="3"/>
      <c r="G4" s="5" t="s">
        <v>75</v>
      </c>
      <c r="H4" s="6">
        <v>0.56999999999999995</v>
      </c>
      <c r="I4" s="3"/>
      <c r="J4" s="5" t="s">
        <v>19</v>
      </c>
      <c r="K4" s="6">
        <v>0.86599999999999999</v>
      </c>
      <c r="L4" s="3"/>
      <c r="M4" s="3"/>
      <c r="N4" s="3"/>
      <c r="O4" s="3"/>
    </row>
    <row r="5" spans="1:15" x14ac:dyDescent="0.25">
      <c r="A5" s="5" t="s">
        <v>133</v>
      </c>
      <c r="B5" s="7">
        <v>2650</v>
      </c>
      <c r="C5" s="3"/>
      <c r="D5" s="5" t="s">
        <v>35</v>
      </c>
      <c r="E5" s="7">
        <v>1600</v>
      </c>
      <c r="F5" s="3"/>
      <c r="G5" s="5" t="s">
        <v>133</v>
      </c>
      <c r="H5" s="6">
        <v>0.53</v>
      </c>
      <c r="I5" s="3"/>
      <c r="J5" s="5" t="s">
        <v>35</v>
      </c>
      <c r="K5" s="6">
        <v>0.67999999999999994</v>
      </c>
      <c r="L5" s="3"/>
      <c r="M5" s="3"/>
      <c r="N5" s="3"/>
      <c r="O5" s="3"/>
    </row>
    <row r="6" spans="1:15" x14ac:dyDescent="0.25">
      <c r="A6" s="5" t="s">
        <v>151</v>
      </c>
      <c r="B6" s="7">
        <v>2850</v>
      </c>
      <c r="C6" s="3"/>
      <c r="D6" s="5" t="s">
        <v>41</v>
      </c>
      <c r="E6" s="7">
        <v>1650</v>
      </c>
      <c r="F6" s="3"/>
      <c r="G6" s="5" t="s">
        <v>151</v>
      </c>
      <c r="H6" s="6">
        <v>0.56999999999999995</v>
      </c>
      <c r="I6" s="3"/>
      <c r="J6" s="5" t="s">
        <v>41</v>
      </c>
      <c r="K6" s="6">
        <v>0.66999999999999993</v>
      </c>
      <c r="L6" s="3"/>
      <c r="M6" s="3"/>
      <c r="N6" s="3"/>
      <c r="O6" s="3"/>
    </row>
    <row r="7" spans="1:15" x14ac:dyDescent="0.25">
      <c r="A7" s="5" t="s">
        <v>199</v>
      </c>
      <c r="B7" s="7">
        <v>3610</v>
      </c>
      <c r="C7" s="3"/>
      <c r="D7" s="5" t="s">
        <v>115</v>
      </c>
      <c r="E7" s="7">
        <v>1650</v>
      </c>
      <c r="F7" s="3"/>
      <c r="G7" s="5" t="s">
        <v>199</v>
      </c>
      <c r="H7" s="6">
        <v>0.72199999999999998</v>
      </c>
      <c r="I7" s="3"/>
      <c r="J7" s="5" t="s">
        <v>115</v>
      </c>
      <c r="K7" s="6">
        <v>0.66999999999999993</v>
      </c>
      <c r="L7" s="3"/>
      <c r="M7" s="3"/>
      <c r="N7" s="3"/>
      <c r="O7" s="3"/>
    </row>
    <row r="8" spans="1:15" x14ac:dyDescent="0.25">
      <c r="A8" s="5" t="s">
        <v>201</v>
      </c>
      <c r="B8" s="7">
        <v>3480</v>
      </c>
      <c r="C8" s="3"/>
      <c r="D8" s="5" t="s">
        <v>187</v>
      </c>
      <c r="E8" s="7">
        <v>1400</v>
      </c>
      <c r="F8" s="3"/>
      <c r="G8" s="5" t="s">
        <v>201</v>
      </c>
      <c r="H8" s="6">
        <v>0.69599999999999995</v>
      </c>
      <c r="I8" s="3"/>
      <c r="J8" s="5" t="s">
        <v>187</v>
      </c>
      <c r="K8" s="6">
        <v>0.72</v>
      </c>
      <c r="L8" s="3"/>
      <c r="M8" s="3"/>
      <c r="N8" s="3"/>
      <c r="O8" s="3"/>
    </row>
    <row r="9" spans="1:15" x14ac:dyDescent="0.25">
      <c r="A9" s="5" t="s">
        <v>206</v>
      </c>
      <c r="B9" s="7">
        <v>15440</v>
      </c>
      <c r="C9" s="3"/>
      <c r="D9" s="5" t="s">
        <v>197</v>
      </c>
      <c r="E9" s="7">
        <v>1400</v>
      </c>
      <c r="F9" s="3"/>
      <c r="G9" s="5" t="s">
        <v>206</v>
      </c>
      <c r="H9" s="6">
        <v>3.0880000000000001</v>
      </c>
      <c r="I9" s="3"/>
      <c r="J9" s="5" t="s">
        <v>197</v>
      </c>
      <c r="K9" s="6">
        <v>0.72</v>
      </c>
      <c r="L9" s="3"/>
      <c r="M9" s="3"/>
      <c r="N9" s="3"/>
      <c r="O9" s="3"/>
    </row>
    <row r="10" spans="1:15" x14ac:dyDescent="0.25">
      <c r="A10" s="3"/>
      <c r="B10" s="3"/>
      <c r="C10" s="3"/>
      <c r="D10" s="5" t="s">
        <v>206</v>
      </c>
      <c r="E10" s="7">
        <v>8370</v>
      </c>
      <c r="F10" s="3"/>
      <c r="G10" s="3"/>
      <c r="H10" s="3"/>
      <c r="I10" s="3"/>
      <c r="J10" s="5" t="s">
        <v>206</v>
      </c>
      <c r="K10" s="6">
        <v>4.3259999999999996</v>
      </c>
      <c r="L10" s="3"/>
      <c r="M10" s="3"/>
      <c r="N10" s="3"/>
      <c r="O10" s="3"/>
    </row>
    <row r="11" spans="1:15" x14ac:dyDescent="0.25">
      <c r="A11" s="3"/>
      <c r="B11" s="3"/>
      <c r="C11" s="3"/>
      <c r="D11" s="3"/>
      <c r="E11" s="3"/>
      <c r="F11" s="3"/>
      <c r="G11" s="3"/>
      <c r="H11" s="3"/>
      <c r="I11" s="3"/>
      <c r="J11" s="3"/>
      <c r="K11" s="3"/>
      <c r="L11" s="3"/>
      <c r="M11" s="3"/>
      <c r="N11" s="3"/>
      <c r="O11" s="3"/>
    </row>
    <row r="12" spans="1:15" x14ac:dyDescent="0.25">
      <c r="A12" s="3"/>
      <c r="B12" s="3"/>
      <c r="C12" s="3"/>
      <c r="D12" s="3"/>
      <c r="E12" s="3"/>
      <c r="F12" s="3"/>
      <c r="G12" s="3"/>
      <c r="H12" s="3"/>
      <c r="I12" s="3"/>
      <c r="J12" s="3"/>
      <c r="K12" s="3"/>
      <c r="L12" s="3"/>
      <c r="M12" s="3"/>
      <c r="N12" s="3"/>
      <c r="O12" s="3"/>
    </row>
    <row r="13" spans="1:15" x14ac:dyDescent="0.25">
      <c r="A13" s="3"/>
      <c r="B13" s="3"/>
      <c r="C13" s="3"/>
      <c r="D13" s="3"/>
      <c r="E13" s="3"/>
      <c r="F13" s="3"/>
      <c r="G13" s="3"/>
      <c r="H13" s="3"/>
      <c r="I13" s="3"/>
      <c r="J13" s="3"/>
      <c r="K13" s="3"/>
      <c r="L13" s="3"/>
      <c r="M13" s="3"/>
      <c r="N13" s="3"/>
      <c r="O13" s="3"/>
    </row>
    <row r="14" spans="1:15" x14ac:dyDescent="0.25">
      <c r="A14" s="3"/>
      <c r="B14" s="3"/>
      <c r="C14" s="3"/>
      <c r="D14" s="3"/>
      <c r="E14" s="3"/>
      <c r="F14" s="3"/>
      <c r="G14" s="3"/>
      <c r="H14" s="3"/>
      <c r="I14" s="3"/>
      <c r="J14" s="3"/>
      <c r="K14" s="3"/>
      <c r="L14" s="3"/>
      <c r="M14" s="3"/>
      <c r="N14" s="3"/>
      <c r="O14" s="3"/>
    </row>
    <row r="15" spans="1:15" x14ac:dyDescent="0.25">
      <c r="A15" s="3"/>
      <c r="B15" s="3"/>
      <c r="C15" s="3"/>
      <c r="D15" s="3"/>
      <c r="E15" s="3"/>
      <c r="F15" s="3"/>
      <c r="G15" s="3"/>
      <c r="H15" s="3"/>
      <c r="I15" s="3"/>
      <c r="J15" s="3"/>
      <c r="K15" s="3"/>
      <c r="L15" s="3"/>
      <c r="M15" s="3"/>
      <c r="N15" s="3"/>
      <c r="O15" s="3"/>
    </row>
    <row r="16" spans="1:15" x14ac:dyDescent="0.25">
      <c r="A16" s="3"/>
      <c r="B16" s="3"/>
      <c r="C16" s="3"/>
      <c r="D16" s="3"/>
      <c r="E16" s="3"/>
      <c r="F16" s="3"/>
      <c r="G16" s="3"/>
      <c r="H16" s="3"/>
      <c r="I16" s="3"/>
      <c r="J16" s="3"/>
      <c r="K16" s="3"/>
      <c r="L16" s="3"/>
      <c r="M16" s="3"/>
      <c r="N16" s="3"/>
      <c r="O16" s="3"/>
    </row>
    <row r="17" spans="1:15" x14ac:dyDescent="0.25">
      <c r="A17" s="3"/>
      <c r="B17" s="3"/>
      <c r="C17" s="3"/>
      <c r="D17" s="3"/>
      <c r="E17" s="3"/>
      <c r="F17" s="3"/>
      <c r="G17" s="3"/>
      <c r="H17" s="3"/>
      <c r="I17" s="3"/>
      <c r="J17" s="3"/>
      <c r="K17" s="3"/>
      <c r="L17" s="3"/>
      <c r="M17" s="3"/>
      <c r="N17" s="3"/>
      <c r="O17" s="3"/>
    </row>
    <row r="18" spans="1:15" x14ac:dyDescent="0.25">
      <c r="A18" s="3"/>
      <c r="B18" s="3"/>
      <c r="C18" s="3"/>
      <c r="D18" s="3"/>
      <c r="E18" s="3"/>
      <c r="F18" s="3"/>
      <c r="G18" s="3"/>
      <c r="H18" s="3"/>
      <c r="I18" s="3"/>
      <c r="J18" s="3"/>
      <c r="K18" s="3"/>
      <c r="L18" s="3"/>
      <c r="M18" s="3"/>
      <c r="N18" s="3"/>
      <c r="O18" s="3"/>
    </row>
    <row r="19" spans="1:15" x14ac:dyDescent="0.25">
      <c r="A19" s="3"/>
      <c r="B19" s="3"/>
      <c r="C19" s="3"/>
      <c r="D19" s="3"/>
      <c r="E19" s="3"/>
      <c r="F19" s="3"/>
      <c r="G19" s="3"/>
      <c r="H19" s="3"/>
      <c r="I19" s="3"/>
      <c r="J19" s="3"/>
      <c r="K19" s="3"/>
      <c r="L19" s="3"/>
      <c r="M19" s="3"/>
      <c r="N19" s="3"/>
      <c r="O19" s="3"/>
    </row>
    <row r="20" spans="1:15" x14ac:dyDescent="0.25">
      <c r="A20" s="3"/>
      <c r="B20" s="3"/>
      <c r="C20" s="3"/>
      <c r="D20" s="3"/>
      <c r="E20" s="3"/>
      <c r="F20" s="3"/>
      <c r="G20" s="3"/>
      <c r="H20" s="3"/>
      <c r="I20" s="3"/>
      <c r="J20" s="3"/>
      <c r="K20" s="3"/>
      <c r="L20" s="3"/>
      <c r="M20" s="3"/>
      <c r="N20" s="3"/>
      <c r="O20" s="3"/>
    </row>
    <row r="21" spans="1:15" x14ac:dyDescent="0.25">
      <c r="A21" s="3"/>
      <c r="B21" s="3"/>
      <c r="C21" s="3"/>
      <c r="D21" s="3"/>
      <c r="E21" s="3"/>
      <c r="F21" s="3"/>
      <c r="G21" s="3"/>
      <c r="H21" s="3"/>
      <c r="I21" s="3"/>
      <c r="J21" s="3"/>
      <c r="K21" s="3"/>
      <c r="L21" s="3"/>
      <c r="M21" s="3"/>
      <c r="N21" s="3"/>
      <c r="O21" s="3"/>
    </row>
    <row r="22" spans="1:15" x14ac:dyDescent="0.25">
      <c r="A22" s="3"/>
      <c r="B22" s="3"/>
      <c r="C22" s="3"/>
      <c r="D22" s="3"/>
      <c r="E22" s="3"/>
      <c r="F22" s="3"/>
      <c r="G22" s="3"/>
      <c r="H22" s="3"/>
      <c r="I22" s="3"/>
      <c r="J22" s="3"/>
      <c r="K22" s="3"/>
      <c r="L22" s="3"/>
      <c r="M22" s="3"/>
      <c r="N22" s="3"/>
      <c r="O22" s="3"/>
    </row>
    <row r="23" spans="1:15" x14ac:dyDescent="0.25">
      <c r="A23" s="3"/>
      <c r="B23" s="3"/>
      <c r="C23" s="3"/>
      <c r="D23" s="3"/>
      <c r="E23" s="3"/>
      <c r="F23" s="3"/>
      <c r="G23" s="3"/>
      <c r="H23" s="3"/>
      <c r="I23" s="3"/>
      <c r="J23" s="3"/>
      <c r="K23" s="3"/>
      <c r="L23" s="3"/>
      <c r="M23" s="3"/>
      <c r="N23" s="3"/>
      <c r="O23" s="3"/>
    </row>
    <row r="24" spans="1:15" x14ac:dyDescent="0.25">
      <c r="A24" s="3"/>
      <c r="B24" s="3"/>
      <c r="C24" s="3"/>
      <c r="D24" s="3"/>
      <c r="E24" s="3"/>
      <c r="F24" s="3"/>
      <c r="G24" s="3"/>
      <c r="H24" s="3"/>
      <c r="I24" s="3"/>
      <c r="J24" s="3"/>
      <c r="K24" s="3"/>
      <c r="L24" s="3"/>
      <c r="M24" s="3"/>
      <c r="N24" s="3"/>
      <c r="O24" s="3"/>
    </row>
    <row r="25" spans="1:15" x14ac:dyDescent="0.25">
      <c r="A25" s="3"/>
      <c r="B25" s="3"/>
      <c r="C25" s="3"/>
      <c r="D25" s="3"/>
      <c r="E25" s="3"/>
      <c r="F25" s="3"/>
      <c r="G25" s="3"/>
      <c r="H25" s="3"/>
      <c r="I25" s="3"/>
      <c r="J25" s="3"/>
      <c r="K25" s="3"/>
      <c r="L25" s="3"/>
      <c r="M25" s="3"/>
      <c r="N25" s="3"/>
      <c r="O25" s="3"/>
    </row>
    <row r="26" spans="1:15" x14ac:dyDescent="0.25">
      <c r="A26" s="3"/>
      <c r="B26" s="3"/>
      <c r="C26" s="3"/>
      <c r="D26" s="3"/>
      <c r="E26" s="3"/>
      <c r="F26" s="3"/>
      <c r="G26" s="3"/>
      <c r="H26" s="3"/>
      <c r="I26" s="3"/>
      <c r="J26" s="3"/>
      <c r="K26" s="3"/>
      <c r="L26" s="3"/>
      <c r="M26" s="3"/>
      <c r="N26" s="3"/>
      <c r="O26" s="3"/>
    </row>
    <row r="27" spans="1:15" x14ac:dyDescent="0.25">
      <c r="A27" s="3"/>
      <c r="B27" s="3"/>
      <c r="C27" s="3"/>
      <c r="D27" s="3"/>
      <c r="E27" s="3"/>
      <c r="F27" s="3"/>
      <c r="G27" s="3"/>
      <c r="H27" s="3"/>
      <c r="I27" s="3"/>
      <c r="J27" s="3"/>
      <c r="K27" s="3"/>
      <c r="L27" s="3"/>
      <c r="M27" s="3"/>
      <c r="N27" s="3"/>
      <c r="O27" s="3"/>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5" r:id="rId8" name="Check Box 1">
              <controlPr defaultSize="0" autoFill="0" autoLine="0" autoPict="0" macro="[0]!SlicerConnection">
                <anchor moveWithCells="1">
                  <from>
                    <xdr:col>0</xdr:col>
                    <xdr:colOff>1076325</xdr:colOff>
                    <xdr:row>1</xdr:row>
                    <xdr:rowOff>333375</xdr:rowOff>
                  </from>
                  <to>
                    <xdr:col>1</xdr:col>
                    <xdr:colOff>142875</xdr:colOff>
                    <xdr:row>1</xdr:row>
                    <xdr:rowOff>552450</xdr:rowOff>
                  </to>
                </anchor>
              </controlPr>
            </control>
          </mc:Choice>
        </mc:AlternateContent>
        <mc:AlternateContent xmlns:mc="http://schemas.openxmlformats.org/markup-compatibility/2006">
          <mc:Choice Requires="x14">
            <control shapeId="1026" r:id="rId9" name="Check Box 2">
              <controlPr defaultSize="0" autoFill="0" autoLine="0" autoPict="0" macro="[0]!SlicerConnection">
                <anchor moveWithCells="1">
                  <from>
                    <xdr:col>3</xdr:col>
                    <xdr:colOff>1209675</xdr:colOff>
                    <xdr:row>1</xdr:row>
                    <xdr:rowOff>333375</xdr:rowOff>
                  </from>
                  <to>
                    <xdr:col>3</xdr:col>
                    <xdr:colOff>2152650</xdr:colOff>
                    <xdr:row>1</xdr:row>
                    <xdr:rowOff>552450</xdr:rowOff>
                  </to>
                </anchor>
              </controlPr>
            </control>
          </mc:Choice>
        </mc:AlternateContent>
        <mc:AlternateContent xmlns:mc="http://schemas.openxmlformats.org/markup-compatibility/2006">
          <mc:Choice Requires="x14">
            <control shapeId="1027" r:id="rId10" name="Check Box 3">
              <controlPr defaultSize="0" autoFill="0" autoLine="0" autoPict="0" macro="[0]!SlicerConnection">
                <anchor moveWithCells="1">
                  <from>
                    <xdr:col>6</xdr:col>
                    <xdr:colOff>1171575</xdr:colOff>
                    <xdr:row>1</xdr:row>
                    <xdr:rowOff>333375</xdr:rowOff>
                  </from>
                  <to>
                    <xdr:col>7</xdr:col>
                    <xdr:colOff>9525</xdr:colOff>
                    <xdr:row>1</xdr:row>
                    <xdr:rowOff>552450</xdr:rowOff>
                  </to>
                </anchor>
              </controlPr>
            </control>
          </mc:Choice>
        </mc:AlternateContent>
        <mc:AlternateContent xmlns:mc="http://schemas.openxmlformats.org/markup-compatibility/2006">
          <mc:Choice Requires="x14">
            <control shapeId="1028" r:id="rId11" name="Check Box 4">
              <controlPr defaultSize="0" autoFill="0" autoLine="0" autoPict="0" macro="[0]!SlicerConnection">
                <anchor moveWithCells="1">
                  <from>
                    <xdr:col>9</xdr:col>
                    <xdr:colOff>1095375</xdr:colOff>
                    <xdr:row>1</xdr:row>
                    <xdr:rowOff>333375</xdr:rowOff>
                  </from>
                  <to>
                    <xdr:col>10</xdr:col>
                    <xdr:colOff>209550</xdr:colOff>
                    <xdr:row>1</xdr:row>
                    <xdr:rowOff>552450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C2917-569F-400C-B60A-1490AC94F736}">
  <sheetPr codeName="Sheet2"/>
  <dimension ref="A1:L96"/>
  <sheetViews>
    <sheetView workbookViewId="0">
      <selection activeCell="K6" sqref="K6"/>
    </sheetView>
  </sheetViews>
  <sheetFormatPr defaultRowHeight="15" x14ac:dyDescent="0.25"/>
  <cols>
    <col min="1" max="1" width="9.85546875" bestFit="1" customWidth="1"/>
    <col min="2" max="2" width="15.140625" bestFit="1" customWidth="1"/>
    <col min="9" max="9" width="10.140625" bestFit="1" customWidth="1"/>
    <col min="11" max="11" width="13.28515625" bestFit="1" customWidth="1"/>
    <col min="12" max="12" width="17.8554687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t="s">
        <v>12</v>
      </c>
      <c r="B2" t="s">
        <v>13</v>
      </c>
      <c r="C2" t="s">
        <v>14</v>
      </c>
      <c r="D2">
        <v>350</v>
      </c>
      <c r="E2">
        <v>360</v>
      </c>
      <c r="F2">
        <v>370</v>
      </c>
      <c r="G2">
        <v>380</v>
      </c>
      <c r="H2">
        <v>390</v>
      </c>
      <c r="I2">
        <v>1850</v>
      </c>
      <c r="J2">
        <v>5000</v>
      </c>
      <c r="K2" s="2">
        <f>I2/J2</f>
        <v>0.37</v>
      </c>
      <c r="L2" s="2">
        <f>100%-K2</f>
        <v>0.63</v>
      </c>
    </row>
    <row r="3" spans="1:12" x14ac:dyDescent="0.25">
      <c r="A3" t="s">
        <v>15</v>
      </c>
      <c r="B3" t="s">
        <v>16</v>
      </c>
      <c r="C3" t="s">
        <v>17</v>
      </c>
      <c r="D3">
        <v>500</v>
      </c>
      <c r="E3">
        <v>520</v>
      </c>
      <c r="F3">
        <v>510</v>
      </c>
      <c r="G3">
        <v>530</v>
      </c>
      <c r="H3">
        <v>540</v>
      </c>
      <c r="I3">
        <v>2600</v>
      </c>
      <c r="J3">
        <v>5000</v>
      </c>
      <c r="K3" s="2">
        <f t="shared" ref="K3:K66" si="0">I3/J3</f>
        <v>0.52</v>
      </c>
      <c r="L3" s="2">
        <f t="shared" ref="L3:L66" si="1">100%-K3</f>
        <v>0.48</v>
      </c>
    </row>
    <row r="4" spans="1:12" x14ac:dyDescent="0.25">
      <c r="A4" t="s">
        <v>18</v>
      </c>
      <c r="B4" t="s">
        <v>19</v>
      </c>
      <c r="C4" t="s">
        <v>14</v>
      </c>
      <c r="D4">
        <v>100</v>
      </c>
      <c r="E4">
        <v>200</v>
      </c>
      <c r="F4">
        <v>300</v>
      </c>
      <c r="G4">
        <v>50</v>
      </c>
      <c r="H4">
        <v>20</v>
      </c>
      <c r="I4">
        <v>670</v>
      </c>
      <c r="J4">
        <v>5000</v>
      </c>
      <c r="K4" s="2">
        <f t="shared" si="0"/>
        <v>0.13400000000000001</v>
      </c>
      <c r="L4" s="2">
        <f t="shared" si="1"/>
        <v>0.86599999999999999</v>
      </c>
    </row>
    <row r="5" spans="1:12" x14ac:dyDescent="0.25">
      <c r="A5" t="s">
        <v>20</v>
      </c>
      <c r="B5" t="s">
        <v>21</v>
      </c>
      <c r="C5" t="s">
        <v>14</v>
      </c>
      <c r="D5">
        <v>550</v>
      </c>
      <c r="E5">
        <v>500</v>
      </c>
      <c r="F5">
        <v>470</v>
      </c>
      <c r="G5">
        <v>480</v>
      </c>
      <c r="H5">
        <v>490</v>
      </c>
      <c r="I5">
        <v>2490</v>
      </c>
      <c r="J5">
        <v>5000</v>
      </c>
      <c r="K5" s="2">
        <f t="shared" si="0"/>
        <v>0.498</v>
      </c>
      <c r="L5" s="2">
        <f t="shared" si="1"/>
        <v>0.502</v>
      </c>
    </row>
    <row r="6" spans="1:12" x14ac:dyDescent="0.25">
      <c r="A6" t="s">
        <v>22</v>
      </c>
      <c r="B6" t="s">
        <v>23</v>
      </c>
      <c r="C6" t="s">
        <v>24</v>
      </c>
      <c r="D6">
        <v>700</v>
      </c>
      <c r="E6">
        <v>680</v>
      </c>
      <c r="F6">
        <v>670</v>
      </c>
      <c r="G6">
        <v>660</v>
      </c>
      <c r="H6">
        <v>650</v>
      </c>
      <c r="I6">
        <v>3360</v>
      </c>
      <c r="J6">
        <v>5000</v>
      </c>
      <c r="K6" s="2">
        <f t="shared" si="0"/>
        <v>0.67200000000000004</v>
      </c>
      <c r="L6" s="2">
        <f t="shared" si="1"/>
        <v>0.32799999999999996</v>
      </c>
    </row>
    <row r="7" spans="1:12" x14ac:dyDescent="0.25">
      <c r="A7" t="s">
        <v>25</v>
      </c>
      <c r="B7" t="s">
        <v>26</v>
      </c>
      <c r="C7" t="s">
        <v>27</v>
      </c>
      <c r="D7">
        <v>460</v>
      </c>
      <c r="E7">
        <v>470</v>
      </c>
      <c r="F7">
        <v>480</v>
      </c>
      <c r="G7">
        <v>490</v>
      </c>
      <c r="H7">
        <v>500</v>
      </c>
      <c r="I7">
        <v>2400</v>
      </c>
      <c r="J7">
        <v>5000</v>
      </c>
      <c r="K7" s="2">
        <f t="shared" si="0"/>
        <v>0.48</v>
      </c>
      <c r="L7" s="2">
        <f t="shared" si="1"/>
        <v>0.52</v>
      </c>
    </row>
    <row r="8" spans="1:12" x14ac:dyDescent="0.25">
      <c r="A8" t="s">
        <v>28</v>
      </c>
      <c r="B8" t="s">
        <v>29</v>
      </c>
      <c r="C8" t="s">
        <v>24</v>
      </c>
      <c r="D8">
        <v>700</v>
      </c>
      <c r="E8">
        <v>720</v>
      </c>
      <c r="F8">
        <v>710</v>
      </c>
      <c r="G8">
        <v>680</v>
      </c>
      <c r="H8">
        <v>690</v>
      </c>
      <c r="I8">
        <v>3500</v>
      </c>
      <c r="J8">
        <v>5000</v>
      </c>
      <c r="K8" s="2">
        <f t="shared" si="0"/>
        <v>0.7</v>
      </c>
      <c r="L8" s="2">
        <f t="shared" si="1"/>
        <v>0.30000000000000004</v>
      </c>
    </row>
    <row r="9" spans="1:12" x14ac:dyDescent="0.25">
      <c r="A9" t="s">
        <v>30</v>
      </c>
      <c r="B9" t="s">
        <v>31</v>
      </c>
      <c r="C9" t="s">
        <v>27</v>
      </c>
      <c r="D9">
        <v>460</v>
      </c>
      <c r="E9">
        <v>470</v>
      </c>
      <c r="F9">
        <v>480</v>
      </c>
      <c r="G9">
        <v>490</v>
      </c>
      <c r="H9">
        <v>500</v>
      </c>
      <c r="I9">
        <v>2400</v>
      </c>
      <c r="J9">
        <v>5000</v>
      </c>
      <c r="K9" s="2">
        <f t="shared" si="0"/>
        <v>0.48</v>
      </c>
      <c r="L9" s="2">
        <f t="shared" si="1"/>
        <v>0.52</v>
      </c>
    </row>
    <row r="10" spans="1:12" x14ac:dyDescent="0.25">
      <c r="A10" t="s">
        <v>32</v>
      </c>
      <c r="B10" t="s">
        <v>33</v>
      </c>
      <c r="C10" t="s">
        <v>27</v>
      </c>
      <c r="D10">
        <v>410</v>
      </c>
      <c r="E10">
        <v>420</v>
      </c>
      <c r="F10">
        <v>430</v>
      </c>
      <c r="G10">
        <v>440</v>
      </c>
      <c r="H10">
        <v>450</v>
      </c>
      <c r="I10">
        <v>2150</v>
      </c>
      <c r="J10">
        <v>5000</v>
      </c>
      <c r="K10" s="2">
        <f t="shared" si="0"/>
        <v>0.43</v>
      </c>
      <c r="L10" s="2">
        <f t="shared" si="1"/>
        <v>0.57000000000000006</v>
      </c>
    </row>
    <row r="11" spans="1:12" x14ac:dyDescent="0.25">
      <c r="A11" t="s">
        <v>34</v>
      </c>
      <c r="B11" t="s">
        <v>35</v>
      </c>
      <c r="C11" t="s">
        <v>14</v>
      </c>
      <c r="D11">
        <v>300</v>
      </c>
      <c r="E11">
        <v>310</v>
      </c>
      <c r="F11">
        <v>320</v>
      </c>
      <c r="G11">
        <v>330</v>
      </c>
      <c r="H11">
        <v>340</v>
      </c>
      <c r="I11">
        <v>1600</v>
      </c>
      <c r="J11">
        <v>5000</v>
      </c>
      <c r="K11" s="2">
        <f t="shared" si="0"/>
        <v>0.32</v>
      </c>
      <c r="L11" s="2">
        <f t="shared" si="1"/>
        <v>0.67999999999999994</v>
      </c>
    </row>
    <row r="12" spans="1:12" x14ac:dyDescent="0.25">
      <c r="A12" t="s">
        <v>36</v>
      </c>
      <c r="B12" t="s">
        <v>37</v>
      </c>
      <c r="C12" t="s">
        <v>17</v>
      </c>
      <c r="D12">
        <v>620</v>
      </c>
      <c r="E12">
        <v>630</v>
      </c>
      <c r="F12">
        <v>640</v>
      </c>
      <c r="G12">
        <v>650</v>
      </c>
      <c r="H12">
        <v>660</v>
      </c>
      <c r="I12">
        <v>3200</v>
      </c>
      <c r="J12">
        <v>5000</v>
      </c>
      <c r="K12" s="2">
        <f t="shared" si="0"/>
        <v>0.64</v>
      </c>
      <c r="L12" s="2">
        <f t="shared" si="1"/>
        <v>0.36</v>
      </c>
    </row>
    <row r="13" spans="1:12" x14ac:dyDescent="0.25">
      <c r="A13" t="s">
        <v>38</v>
      </c>
      <c r="B13" t="s">
        <v>39</v>
      </c>
      <c r="C13" t="s">
        <v>24</v>
      </c>
      <c r="D13">
        <v>480</v>
      </c>
      <c r="E13">
        <v>470</v>
      </c>
      <c r="F13">
        <v>460</v>
      </c>
      <c r="G13">
        <v>450</v>
      </c>
      <c r="H13">
        <v>440</v>
      </c>
      <c r="I13">
        <v>2300</v>
      </c>
      <c r="J13">
        <v>5000</v>
      </c>
      <c r="K13" s="2">
        <f t="shared" si="0"/>
        <v>0.46</v>
      </c>
      <c r="L13" s="2">
        <f t="shared" si="1"/>
        <v>0.54</v>
      </c>
    </row>
    <row r="14" spans="1:12" x14ac:dyDescent="0.25">
      <c r="A14" t="s">
        <v>40</v>
      </c>
      <c r="B14" t="s">
        <v>41</v>
      </c>
      <c r="C14" t="s">
        <v>14</v>
      </c>
      <c r="D14">
        <v>350</v>
      </c>
      <c r="E14">
        <v>340</v>
      </c>
      <c r="F14">
        <v>330</v>
      </c>
      <c r="G14">
        <v>320</v>
      </c>
      <c r="H14">
        <v>310</v>
      </c>
      <c r="I14">
        <v>1650</v>
      </c>
      <c r="J14">
        <v>5000</v>
      </c>
      <c r="K14" s="2">
        <f t="shared" si="0"/>
        <v>0.33</v>
      </c>
      <c r="L14" s="2">
        <f t="shared" si="1"/>
        <v>0.66999999999999993</v>
      </c>
    </row>
    <row r="15" spans="1:12" x14ac:dyDescent="0.25">
      <c r="A15" t="s">
        <v>42</v>
      </c>
      <c r="B15" t="s">
        <v>43</v>
      </c>
      <c r="C15" t="s">
        <v>24</v>
      </c>
      <c r="D15">
        <v>550</v>
      </c>
      <c r="E15">
        <v>560</v>
      </c>
      <c r="F15">
        <v>570</v>
      </c>
      <c r="G15">
        <v>580</v>
      </c>
      <c r="H15">
        <v>590</v>
      </c>
      <c r="I15">
        <v>2850</v>
      </c>
      <c r="J15">
        <v>5000</v>
      </c>
      <c r="K15" s="2">
        <f t="shared" si="0"/>
        <v>0.56999999999999995</v>
      </c>
      <c r="L15" s="2">
        <f t="shared" si="1"/>
        <v>0.43000000000000005</v>
      </c>
    </row>
    <row r="16" spans="1:12" x14ac:dyDescent="0.25">
      <c r="A16" t="s">
        <v>44</v>
      </c>
      <c r="B16" t="s">
        <v>45</v>
      </c>
      <c r="C16" t="s">
        <v>17</v>
      </c>
      <c r="D16">
        <v>600</v>
      </c>
      <c r="E16">
        <v>580</v>
      </c>
      <c r="F16">
        <v>590</v>
      </c>
      <c r="G16">
        <v>570</v>
      </c>
      <c r="H16">
        <v>560</v>
      </c>
      <c r="I16">
        <v>2900</v>
      </c>
      <c r="J16">
        <v>5000</v>
      </c>
      <c r="K16" s="2">
        <f t="shared" si="0"/>
        <v>0.57999999999999996</v>
      </c>
      <c r="L16" s="2">
        <f t="shared" si="1"/>
        <v>0.42000000000000004</v>
      </c>
    </row>
    <row r="17" spans="1:12" x14ac:dyDescent="0.25">
      <c r="A17" t="s">
        <v>46</v>
      </c>
      <c r="B17" t="s">
        <v>47</v>
      </c>
      <c r="C17" t="s">
        <v>27</v>
      </c>
      <c r="D17">
        <v>540</v>
      </c>
      <c r="E17">
        <v>550</v>
      </c>
      <c r="F17">
        <v>530</v>
      </c>
      <c r="G17">
        <v>520</v>
      </c>
      <c r="H17">
        <v>510</v>
      </c>
      <c r="I17">
        <v>2650</v>
      </c>
      <c r="J17">
        <v>5000</v>
      </c>
      <c r="K17" s="2">
        <f t="shared" si="0"/>
        <v>0.53</v>
      </c>
      <c r="L17" s="2">
        <f t="shared" si="1"/>
        <v>0.47</v>
      </c>
    </row>
    <row r="18" spans="1:12" x14ac:dyDescent="0.25">
      <c r="A18" t="s">
        <v>48</v>
      </c>
      <c r="B18" t="s">
        <v>49</v>
      </c>
      <c r="C18" t="s">
        <v>27</v>
      </c>
      <c r="D18">
        <v>480</v>
      </c>
      <c r="E18">
        <v>470</v>
      </c>
      <c r="F18">
        <v>460</v>
      </c>
      <c r="G18">
        <v>450</v>
      </c>
      <c r="H18">
        <v>440</v>
      </c>
      <c r="I18">
        <v>2300</v>
      </c>
      <c r="J18">
        <v>5000</v>
      </c>
      <c r="K18" s="2">
        <f t="shared" si="0"/>
        <v>0.46</v>
      </c>
      <c r="L18" s="2">
        <f t="shared" si="1"/>
        <v>0.54</v>
      </c>
    </row>
    <row r="19" spans="1:12" x14ac:dyDescent="0.25">
      <c r="A19" t="s">
        <v>50</v>
      </c>
      <c r="B19" t="s">
        <v>51</v>
      </c>
      <c r="C19" t="s">
        <v>24</v>
      </c>
      <c r="D19">
        <v>450</v>
      </c>
      <c r="E19">
        <v>440</v>
      </c>
      <c r="F19">
        <v>430</v>
      </c>
      <c r="G19">
        <v>420</v>
      </c>
      <c r="H19">
        <v>410</v>
      </c>
      <c r="I19">
        <v>2150</v>
      </c>
      <c r="J19">
        <v>5000</v>
      </c>
      <c r="K19" s="2">
        <f t="shared" si="0"/>
        <v>0.43</v>
      </c>
      <c r="L19" s="2">
        <f t="shared" si="1"/>
        <v>0.57000000000000006</v>
      </c>
    </row>
    <row r="20" spans="1:12" x14ac:dyDescent="0.25">
      <c r="A20" t="s">
        <v>52</v>
      </c>
      <c r="B20" t="s">
        <v>53</v>
      </c>
      <c r="C20" t="s">
        <v>24</v>
      </c>
      <c r="D20">
        <v>380</v>
      </c>
      <c r="E20">
        <v>390</v>
      </c>
      <c r="F20">
        <v>400</v>
      </c>
      <c r="G20">
        <v>410</v>
      </c>
      <c r="H20">
        <v>420</v>
      </c>
      <c r="I20">
        <v>2000</v>
      </c>
      <c r="J20">
        <v>5000</v>
      </c>
      <c r="K20" s="2">
        <f t="shared" si="0"/>
        <v>0.4</v>
      </c>
      <c r="L20" s="2">
        <f t="shared" si="1"/>
        <v>0.6</v>
      </c>
    </row>
    <row r="21" spans="1:12" x14ac:dyDescent="0.25">
      <c r="A21" t="s">
        <v>54</v>
      </c>
      <c r="B21" t="s">
        <v>55</v>
      </c>
      <c r="C21" t="s">
        <v>24</v>
      </c>
      <c r="D21">
        <v>550</v>
      </c>
      <c r="E21">
        <v>560</v>
      </c>
      <c r="F21">
        <v>570</v>
      </c>
      <c r="G21">
        <v>580</v>
      </c>
      <c r="H21">
        <v>590</v>
      </c>
      <c r="I21">
        <v>2850</v>
      </c>
      <c r="J21">
        <v>5000</v>
      </c>
      <c r="K21" s="2">
        <f t="shared" si="0"/>
        <v>0.56999999999999995</v>
      </c>
      <c r="L21" s="2">
        <f t="shared" si="1"/>
        <v>0.43000000000000005</v>
      </c>
    </row>
    <row r="22" spans="1:12" x14ac:dyDescent="0.25">
      <c r="A22" t="s">
        <v>56</v>
      </c>
      <c r="B22" t="s">
        <v>57</v>
      </c>
      <c r="C22" t="s">
        <v>14</v>
      </c>
      <c r="D22">
        <v>480</v>
      </c>
      <c r="E22">
        <v>470</v>
      </c>
      <c r="F22">
        <v>460</v>
      </c>
      <c r="G22">
        <v>450</v>
      </c>
      <c r="H22">
        <v>440</v>
      </c>
      <c r="I22">
        <v>2300</v>
      </c>
      <c r="J22">
        <v>5000</v>
      </c>
      <c r="K22" s="2">
        <f t="shared" si="0"/>
        <v>0.46</v>
      </c>
      <c r="L22" s="2">
        <f t="shared" si="1"/>
        <v>0.54</v>
      </c>
    </row>
    <row r="23" spans="1:12" x14ac:dyDescent="0.25">
      <c r="A23" t="s">
        <v>58</v>
      </c>
      <c r="B23" t="s">
        <v>59</v>
      </c>
      <c r="C23" t="s">
        <v>27</v>
      </c>
      <c r="D23">
        <v>500</v>
      </c>
      <c r="E23">
        <v>520</v>
      </c>
      <c r="F23">
        <v>510</v>
      </c>
      <c r="G23">
        <v>530</v>
      </c>
      <c r="H23">
        <v>540</v>
      </c>
      <c r="I23">
        <v>2600</v>
      </c>
      <c r="J23">
        <v>5000</v>
      </c>
      <c r="K23" s="2">
        <f t="shared" si="0"/>
        <v>0.52</v>
      </c>
      <c r="L23" s="2">
        <f t="shared" si="1"/>
        <v>0.48</v>
      </c>
    </row>
    <row r="24" spans="1:12" x14ac:dyDescent="0.25">
      <c r="A24" t="s">
        <v>60</v>
      </c>
      <c r="B24" t="s">
        <v>61</v>
      </c>
      <c r="C24" t="s">
        <v>24</v>
      </c>
      <c r="D24">
        <v>700</v>
      </c>
      <c r="E24">
        <v>750</v>
      </c>
      <c r="F24">
        <v>720</v>
      </c>
      <c r="G24">
        <v>710</v>
      </c>
      <c r="H24">
        <v>730</v>
      </c>
      <c r="I24">
        <v>3610</v>
      </c>
      <c r="J24">
        <v>5000</v>
      </c>
      <c r="K24" s="2">
        <f t="shared" si="0"/>
        <v>0.72199999999999998</v>
      </c>
      <c r="L24" s="2">
        <f t="shared" si="1"/>
        <v>0.27800000000000002</v>
      </c>
    </row>
    <row r="25" spans="1:12" x14ac:dyDescent="0.25">
      <c r="A25" t="s">
        <v>62</v>
      </c>
      <c r="B25" t="s">
        <v>63</v>
      </c>
      <c r="C25" t="s">
        <v>24</v>
      </c>
      <c r="D25">
        <v>380</v>
      </c>
      <c r="E25">
        <v>390</v>
      </c>
      <c r="F25">
        <v>400</v>
      </c>
      <c r="G25">
        <v>410</v>
      </c>
      <c r="H25">
        <v>420</v>
      </c>
      <c r="I25">
        <v>2000</v>
      </c>
      <c r="J25">
        <v>5000</v>
      </c>
      <c r="K25" s="2">
        <f t="shared" si="0"/>
        <v>0.4</v>
      </c>
      <c r="L25" s="2">
        <f t="shared" si="1"/>
        <v>0.6</v>
      </c>
    </row>
    <row r="26" spans="1:12" x14ac:dyDescent="0.25">
      <c r="A26" t="s">
        <v>64</v>
      </c>
      <c r="B26" t="s">
        <v>65</v>
      </c>
      <c r="C26" t="s">
        <v>27</v>
      </c>
      <c r="D26">
        <v>300</v>
      </c>
      <c r="E26">
        <v>310</v>
      </c>
      <c r="F26">
        <v>320</v>
      </c>
      <c r="G26">
        <v>330</v>
      </c>
      <c r="H26">
        <v>340</v>
      </c>
      <c r="I26">
        <v>1600</v>
      </c>
      <c r="J26">
        <v>5000</v>
      </c>
      <c r="K26" s="2">
        <f t="shared" si="0"/>
        <v>0.32</v>
      </c>
      <c r="L26" s="2">
        <f t="shared" si="1"/>
        <v>0.67999999999999994</v>
      </c>
    </row>
    <row r="27" spans="1:12" x14ac:dyDescent="0.25">
      <c r="A27" t="s">
        <v>66</v>
      </c>
      <c r="B27" t="s">
        <v>67</v>
      </c>
      <c r="C27" t="s">
        <v>27</v>
      </c>
      <c r="D27">
        <v>460</v>
      </c>
      <c r="E27">
        <v>470</v>
      </c>
      <c r="F27">
        <v>480</v>
      </c>
      <c r="G27">
        <v>490</v>
      </c>
      <c r="H27">
        <v>500</v>
      </c>
      <c r="I27">
        <v>2400</v>
      </c>
      <c r="J27">
        <v>5000</v>
      </c>
      <c r="K27" s="2">
        <f t="shared" si="0"/>
        <v>0.48</v>
      </c>
      <c r="L27" s="2">
        <f t="shared" si="1"/>
        <v>0.52</v>
      </c>
    </row>
    <row r="28" spans="1:12" x14ac:dyDescent="0.25">
      <c r="A28" t="s">
        <v>68</v>
      </c>
      <c r="B28" t="s">
        <v>69</v>
      </c>
      <c r="C28" t="s">
        <v>27</v>
      </c>
      <c r="D28">
        <v>500</v>
      </c>
      <c r="E28">
        <v>520</v>
      </c>
      <c r="F28">
        <v>510</v>
      </c>
      <c r="G28">
        <v>530</v>
      </c>
      <c r="H28">
        <v>540</v>
      </c>
      <c r="I28">
        <v>2600</v>
      </c>
      <c r="J28">
        <v>5000</v>
      </c>
      <c r="K28" s="2">
        <f t="shared" si="0"/>
        <v>0.52</v>
      </c>
      <c r="L28" s="2">
        <f t="shared" si="1"/>
        <v>0.48</v>
      </c>
    </row>
    <row r="29" spans="1:12" x14ac:dyDescent="0.25">
      <c r="A29" t="s">
        <v>70</v>
      </c>
      <c r="B29" t="s">
        <v>71</v>
      </c>
      <c r="C29" t="s">
        <v>14</v>
      </c>
      <c r="D29">
        <v>500</v>
      </c>
      <c r="E29">
        <v>510</v>
      </c>
      <c r="F29">
        <v>520</v>
      </c>
      <c r="G29">
        <v>530</v>
      </c>
      <c r="H29">
        <v>540</v>
      </c>
      <c r="I29">
        <v>2600</v>
      </c>
      <c r="J29">
        <v>5000</v>
      </c>
      <c r="K29" s="2">
        <f t="shared" si="0"/>
        <v>0.52</v>
      </c>
      <c r="L29" s="2">
        <f t="shared" si="1"/>
        <v>0.48</v>
      </c>
    </row>
    <row r="30" spans="1:12" x14ac:dyDescent="0.25">
      <c r="A30" t="s">
        <v>72</v>
      </c>
      <c r="B30" t="s">
        <v>73</v>
      </c>
      <c r="C30" t="s">
        <v>17</v>
      </c>
      <c r="D30">
        <v>350</v>
      </c>
      <c r="E30">
        <v>340</v>
      </c>
      <c r="F30">
        <v>330</v>
      </c>
      <c r="G30">
        <v>320</v>
      </c>
      <c r="H30">
        <v>310</v>
      </c>
      <c r="I30">
        <v>1650</v>
      </c>
      <c r="J30">
        <v>5000</v>
      </c>
      <c r="K30" s="2">
        <f t="shared" si="0"/>
        <v>0.33</v>
      </c>
      <c r="L30" s="2">
        <f t="shared" si="1"/>
        <v>0.66999999999999993</v>
      </c>
    </row>
    <row r="31" spans="1:12" x14ac:dyDescent="0.25">
      <c r="A31" t="s">
        <v>74</v>
      </c>
      <c r="B31" t="s">
        <v>75</v>
      </c>
      <c r="C31" t="s">
        <v>14</v>
      </c>
      <c r="D31">
        <v>550</v>
      </c>
      <c r="E31">
        <v>560</v>
      </c>
      <c r="F31">
        <v>570</v>
      </c>
      <c r="G31">
        <v>580</v>
      </c>
      <c r="H31">
        <v>590</v>
      </c>
      <c r="I31">
        <v>2850</v>
      </c>
      <c r="J31">
        <v>5000</v>
      </c>
      <c r="K31" s="2">
        <f t="shared" si="0"/>
        <v>0.56999999999999995</v>
      </c>
      <c r="L31" s="2">
        <f t="shared" si="1"/>
        <v>0.43000000000000005</v>
      </c>
    </row>
    <row r="32" spans="1:12" x14ac:dyDescent="0.25">
      <c r="A32" t="s">
        <v>76</v>
      </c>
      <c r="B32" t="s">
        <v>77</v>
      </c>
      <c r="C32" t="s">
        <v>24</v>
      </c>
      <c r="D32">
        <v>500</v>
      </c>
      <c r="E32">
        <v>510</v>
      </c>
      <c r="F32">
        <v>520</v>
      </c>
      <c r="G32">
        <v>530</v>
      </c>
      <c r="H32">
        <v>540</v>
      </c>
      <c r="I32">
        <v>2600</v>
      </c>
      <c r="J32">
        <v>5000</v>
      </c>
      <c r="K32" s="2">
        <f t="shared" si="0"/>
        <v>0.52</v>
      </c>
      <c r="L32" s="2">
        <f t="shared" si="1"/>
        <v>0.48</v>
      </c>
    </row>
    <row r="33" spans="1:12" x14ac:dyDescent="0.25">
      <c r="A33" t="s">
        <v>78</v>
      </c>
      <c r="B33" t="s">
        <v>79</v>
      </c>
      <c r="C33" t="s">
        <v>27</v>
      </c>
      <c r="D33">
        <v>700</v>
      </c>
      <c r="E33">
        <v>750</v>
      </c>
      <c r="F33">
        <v>720</v>
      </c>
      <c r="G33">
        <v>710</v>
      </c>
      <c r="H33">
        <v>730</v>
      </c>
      <c r="I33">
        <v>3610</v>
      </c>
      <c r="J33">
        <v>5000</v>
      </c>
      <c r="K33" s="2">
        <f t="shared" si="0"/>
        <v>0.72199999999999998</v>
      </c>
      <c r="L33" s="2">
        <f t="shared" si="1"/>
        <v>0.27800000000000002</v>
      </c>
    </row>
    <row r="34" spans="1:12" x14ac:dyDescent="0.25">
      <c r="A34" t="s">
        <v>80</v>
      </c>
      <c r="B34" t="s">
        <v>81</v>
      </c>
      <c r="C34" t="s">
        <v>27</v>
      </c>
      <c r="D34">
        <v>300</v>
      </c>
      <c r="E34">
        <v>310</v>
      </c>
      <c r="F34">
        <v>320</v>
      </c>
      <c r="G34">
        <v>330</v>
      </c>
      <c r="H34">
        <v>340</v>
      </c>
      <c r="I34">
        <v>1600</v>
      </c>
      <c r="J34">
        <v>5000</v>
      </c>
      <c r="K34" s="2">
        <f t="shared" si="0"/>
        <v>0.32</v>
      </c>
      <c r="L34" s="2">
        <f t="shared" si="1"/>
        <v>0.67999999999999994</v>
      </c>
    </row>
    <row r="35" spans="1:12" x14ac:dyDescent="0.25">
      <c r="A35" t="s">
        <v>82</v>
      </c>
      <c r="B35" t="s">
        <v>83</v>
      </c>
      <c r="C35" t="s">
        <v>17</v>
      </c>
      <c r="D35">
        <v>300</v>
      </c>
      <c r="E35">
        <v>320</v>
      </c>
      <c r="F35">
        <v>310</v>
      </c>
      <c r="G35">
        <v>300</v>
      </c>
      <c r="H35">
        <v>310</v>
      </c>
      <c r="I35">
        <v>1540</v>
      </c>
      <c r="J35">
        <v>5000</v>
      </c>
      <c r="K35" s="2">
        <f t="shared" si="0"/>
        <v>0.308</v>
      </c>
      <c r="L35" s="2">
        <f t="shared" si="1"/>
        <v>0.69199999999999995</v>
      </c>
    </row>
    <row r="36" spans="1:12" x14ac:dyDescent="0.25">
      <c r="A36" t="s">
        <v>84</v>
      </c>
      <c r="B36" t="s">
        <v>85</v>
      </c>
      <c r="C36" t="s">
        <v>27</v>
      </c>
      <c r="D36">
        <v>320</v>
      </c>
      <c r="E36">
        <v>310</v>
      </c>
      <c r="F36">
        <v>300</v>
      </c>
      <c r="G36">
        <v>290</v>
      </c>
      <c r="H36">
        <v>280</v>
      </c>
      <c r="I36">
        <v>1500</v>
      </c>
      <c r="J36">
        <v>5000</v>
      </c>
      <c r="K36" s="2">
        <f t="shared" si="0"/>
        <v>0.3</v>
      </c>
      <c r="L36" s="2">
        <f t="shared" si="1"/>
        <v>0.7</v>
      </c>
    </row>
    <row r="37" spans="1:12" x14ac:dyDescent="0.25">
      <c r="A37" t="s">
        <v>86</v>
      </c>
      <c r="B37" t="s">
        <v>87</v>
      </c>
      <c r="C37" t="s">
        <v>17</v>
      </c>
      <c r="D37">
        <v>550</v>
      </c>
      <c r="E37">
        <v>560</v>
      </c>
      <c r="F37">
        <v>570</v>
      </c>
      <c r="G37">
        <v>580</v>
      </c>
      <c r="H37">
        <v>590</v>
      </c>
      <c r="I37">
        <v>2850</v>
      </c>
      <c r="J37">
        <v>5000</v>
      </c>
      <c r="K37" s="2">
        <f t="shared" si="0"/>
        <v>0.56999999999999995</v>
      </c>
      <c r="L37" s="2">
        <f t="shared" si="1"/>
        <v>0.43000000000000005</v>
      </c>
    </row>
    <row r="38" spans="1:12" x14ac:dyDescent="0.25">
      <c r="A38" t="s">
        <v>88</v>
      </c>
      <c r="B38" t="s">
        <v>89</v>
      </c>
      <c r="C38" t="s">
        <v>24</v>
      </c>
      <c r="D38">
        <v>600</v>
      </c>
      <c r="E38">
        <v>610</v>
      </c>
      <c r="F38">
        <v>620</v>
      </c>
      <c r="G38">
        <v>630</v>
      </c>
      <c r="H38">
        <v>640</v>
      </c>
      <c r="I38">
        <v>3100</v>
      </c>
      <c r="J38">
        <v>5000</v>
      </c>
      <c r="K38" s="2">
        <f t="shared" si="0"/>
        <v>0.62</v>
      </c>
      <c r="L38" s="2">
        <f t="shared" si="1"/>
        <v>0.38</v>
      </c>
    </row>
    <row r="39" spans="1:12" x14ac:dyDescent="0.25">
      <c r="A39" t="s">
        <v>90</v>
      </c>
      <c r="B39" t="s">
        <v>91</v>
      </c>
      <c r="C39" t="s">
        <v>24</v>
      </c>
      <c r="D39">
        <v>600</v>
      </c>
      <c r="E39">
        <v>580</v>
      </c>
      <c r="F39">
        <v>590</v>
      </c>
      <c r="G39">
        <v>570</v>
      </c>
      <c r="H39">
        <v>560</v>
      </c>
      <c r="I39">
        <v>2900</v>
      </c>
      <c r="J39">
        <v>5000</v>
      </c>
      <c r="K39" s="2">
        <f t="shared" si="0"/>
        <v>0.57999999999999996</v>
      </c>
      <c r="L39" s="2">
        <f t="shared" si="1"/>
        <v>0.42000000000000004</v>
      </c>
    </row>
    <row r="40" spans="1:12" x14ac:dyDescent="0.25">
      <c r="A40" t="s">
        <v>92</v>
      </c>
      <c r="B40" t="s">
        <v>93</v>
      </c>
      <c r="C40" t="s">
        <v>17</v>
      </c>
      <c r="D40">
        <v>600</v>
      </c>
      <c r="E40">
        <v>550</v>
      </c>
      <c r="F40">
        <v>500</v>
      </c>
      <c r="G40">
        <v>450</v>
      </c>
      <c r="H40">
        <v>400</v>
      </c>
      <c r="I40">
        <v>2500</v>
      </c>
      <c r="J40">
        <v>5000</v>
      </c>
      <c r="K40" s="2">
        <f t="shared" si="0"/>
        <v>0.5</v>
      </c>
      <c r="L40" s="2">
        <f t="shared" si="1"/>
        <v>0.5</v>
      </c>
    </row>
    <row r="41" spans="1:12" x14ac:dyDescent="0.25">
      <c r="A41" t="s">
        <v>94</v>
      </c>
      <c r="B41" t="s">
        <v>95</v>
      </c>
      <c r="C41" t="s">
        <v>24</v>
      </c>
      <c r="D41">
        <v>500</v>
      </c>
      <c r="E41">
        <v>450</v>
      </c>
      <c r="F41">
        <v>400</v>
      </c>
      <c r="G41">
        <v>300</v>
      </c>
      <c r="H41">
        <v>350</v>
      </c>
      <c r="I41">
        <v>2000</v>
      </c>
      <c r="J41">
        <v>5000</v>
      </c>
      <c r="K41" s="2">
        <f t="shared" si="0"/>
        <v>0.4</v>
      </c>
      <c r="L41" s="2">
        <f t="shared" si="1"/>
        <v>0.6</v>
      </c>
    </row>
    <row r="42" spans="1:12" x14ac:dyDescent="0.25">
      <c r="A42" t="s">
        <v>96</v>
      </c>
      <c r="B42" t="s">
        <v>97</v>
      </c>
      <c r="C42" t="s">
        <v>24</v>
      </c>
      <c r="D42">
        <v>700</v>
      </c>
      <c r="E42">
        <v>710</v>
      </c>
      <c r="F42">
        <v>720</v>
      </c>
      <c r="G42">
        <v>730</v>
      </c>
      <c r="H42">
        <v>740</v>
      </c>
      <c r="I42">
        <v>3600</v>
      </c>
      <c r="J42">
        <v>5000</v>
      </c>
      <c r="K42" s="2">
        <f t="shared" si="0"/>
        <v>0.72</v>
      </c>
      <c r="L42" s="2">
        <f t="shared" si="1"/>
        <v>0.28000000000000003</v>
      </c>
    </row>
    <row r="43" spans="1:12" x14ac:dyDescent="0.25">
      <c r="A43" t="s">
        <v>98</v>
      </c>
      <c r="B43" t="s">
        <v>99</v>
      </c>
      <c r="C43" t="s">
        <v>24</v>
      </c>
      <c r="D43">
        <v>600</v>
      </c>
      <c r="E43">
        <v>610</v>
      </c>
      <c r="F43">
        <v>620</v>
      </c>
      <c r="G43">
        <v>630</v>
      </c>
      <c r="H43">
        <v>640</v>
      </c>
      <c r="I43">
        <v>3100</v>
      </c>
      <c r="J43">
        <v>5000</v>
      </c>
      <c r="K43" s="2">
        <f t="shared" si="0"/>
        <v>0.62</v>
      </c>
      <c r="L43" s="2">
        <f t="shared" si="1"/>
        <v>0.38</v>
      </c>
    </row>
    <row r="44" spans="1:12" x14ac:dyDescent="0.25">
      <c r="A44" t="s">
        <v>100</v>
      </c>
      <c r="B44" t="s">
        <v>101</v>
      </c>
      <c r="C44" t="s">
        <v>24</v>
      </c>
      <c r="D44">
        <v>480</v>
      </c>
      <c r="E44">
        <v>470</v>
      </c>
      <c r="F44">
        <v>460</v>
      </c>
      <c r="G44">
        <v>450</v>
      </c>
      <c r="H44">
        <v>440</v>
      </c>
      <c r="I44">
        <v>2300</v>
      </c>
      <c r="J44">
        <v>5000</v>
      </c>
      <c r="K44" s="2">
        <f t="shared" si="0"/>
        <v>0.46</v>
      </c>
      <c r="L44" s="2">
        <f t="shared" si="1"/>
        <v>0.54</v>
      </c>
    </row>
    <row r="45" spans="1:12" x14ac:dyDescent="0.25">
      <c r="A45" t="s">
        <v>102</v>
      </c>
      <c r="B45" t="s">
        <v>103</v>
      </c>
      <c r="C45" t="s">
        <v>17</v>
      </c>
      <c r="D45">
        <v>500</v>
      </c>
      <c r="E45">
        <v>510</v>
      </c>
      <c r="F45">
        <v>520</v>
      </c>
      <c r="G45">
        <v>530</v>
      </c>
      <c r="H45">
        <v>540</v>
      </c>
      <c r="I45">
        <v>2600</v>
      </c>
      <c r="J45">
        <v>5000</v>
      </c>
      <c r="K45" s="2">
        <f t="shared" si="0"/>
        <v>0.52</v>
      </c>
      <c r="L45" s="2">
        <f t="shared" si="1"/>
        <v>0.48</v>
      </c>
    </row>
    <row r="46" spans="1:12" x14ac:dyDescent="0.25">
      <c r="A46" t="s">
        <v>104</v>
      </c>
      <c r="B46" t="s">
        <v>105</v>
      </c>
      <c r="C46" t="s">
        <v>17</v>
      </c>
      <c r="D46">
        <v>350</v>
      </c>
      <c r="E46">
        <v>360</v>
      </c>
      <c r="F46">
        <v>370</v>
      </c>
      <c r="G46">
        <v>380</v>
      </c>
      <c r="H46">
        <v>390</v>
      </c>
      <c r="I46">
        <v>1850</v>
      </c>
      <c r="J46">
        <v>5000</v>
      </c>
      <c r="K46" s="2">
        <f t="shared" si="0"/>
        <v>0.37</v>
      </c>
      <c r="L46" s="2">
        <f t="shared" si="1"/>
        <v>0.63</v>
      </c>
    </row>
    <row r="47" spans="1:12" x14ac:dyDescent="0.25">
      <c r="A47" t="s">
        <v>106</v>
      </c>
      <c r="B47" t="s">
        <v>107</v>
      </c>
      <c r="C47" t="s">
        <v>17</v>
      </c>
      <c r="D47">
        <v>620</v>
      </c>
      <c r="E47">
        <v>610</v>
      </c>
      <c r="F47">
        <v>600</v>
      </c>
      <c r="G47">
        <v>590</v>
      </c>
      <c r="H47">
        <v>580</v>
      </c>
      <c r="I47">
        <v>3000</v>
      </c>
      <c r="J47">
        <v>5000</v>
      </c>
      <c r="K47" s="2">
        <f t="shared" si="0"/>
        <v>0.6</v>
      </c>
      <c r="L47" s="2">
        <f t="shared" si="1"/>
        <v>0.4</v>
      </c>
    </row>
    <row r="48" spans="1:12" x14ac:dyDescent="0.25">
      <c r="A48" t="s">
        <v>108</v>
      </c>
      <c r="B48" t="s">
        <v>109</v>
      </c>
      <c r="C48" t="s">
        <v>27</v>
      </c>
      <c r="D48">
        <v>600</v>
      </c>
      <c r="E48">
        <v>610</v>
      </c>
      <c r="F48">
        <v>620</v>
      </c>
      <c r="G48">
        <v>630</v>
      </c>
      <c r="H48">
        <v>640</v>
      </c>
      <c r="I48">
        <v>3100</v>
      </c>
      <c r="J48">
        <v>5000</v>
      </c>
      <c r="K48" s="2">
        <f t="shared" si="0"/>
        <v>0.62</v>
      </c>
      <c r="L48" s="2">
        <f t="shared" si="1"/>
        <v>0.38</v>
      </c>
    </row>
    <row r="49" spans="1:12" x14ac:dyDescent="0.25">
      <c r="A49" t="s">
        <v>110</v>
      </c>
      <c r="B49" t="s">
        <v>111</v>
      </c>
      <c r="C49" t="s">
        <v>27</v>
      </c>
      <c r="D49">
        <v>700</v>
      </c>
      <c r="E49">
        <v>750</v>
      </c>
      <c r="F49">
        <v>720</v>
      </c>
      <c r="G49">
        <v>710</v>
      </c>
      <c r="H49">
        <v>730</v>
      </c>
      <c r="I49">
        <v>3610</v>
      </c>
      <c r="J49">
        <v>5000</v>
      </c>
      <c r="K49" s="2">
        <f t="shared" si="0"/>
        <v>0.72199999999999998</v>
      </c>
      <c r="L49" s="2">
        <f t="shared" si="1"/>
        <v>0.27800000000000002</v>
      </c>
    </row>
    <row r="50" spans="1:12" x14ac:dyDescent="0.25">
      <c r="A50" t="s">
        <v>112</v>
      </c>
      <c r="B50" t="s">
        <v>113</v>
      </c>
      <c r="C50" t="s">
        <v>24</v>
      </c>
      <c r="D50">
        <v>500</v>
      </c>
      <c r="E50">
        <v>490</v>
      </c>
      <c r="F50">
        <v>480</v>
      </c>
      <c r="G50">
        <v>470</v>
      </c>
      <c r="H50">
        <v>460</v>
      </c>
      <c r="I50">
        <v>2400</v>
      </c>
      <c r="J50">
        <v>5000</v>
      </c>
      <c r="K50" s="2">
        <f t="shared" si="0"/>
        <v>0.48</v>
      </c>
      <c r="L50" s="2">
        <f t="shared" si="1"/>
        <v>0.52</v>
      </c>
    </row>
    <row r="51" spans="1:12" x14ac:dyDescent="0.25">
      <c r="A51" t="s">
        <v>114</v>
      </c>
      <c r="B51" t="s">
        <v>115</v>
      </c>
      <c r="C51" t="s">
        <v>14</v>
      </c>
      <c r="D51">
        <v>350</v>
      </c>
      <c r="E51">
        <v>340</v>
      </c>
      <c r="F51">
        <v>330</v>
      </c>
      <c r="G51">
        <v>320</v>
      </c>
      <c r="H51">
        <v>310</v>
      </c>
      <c r="I51">
        <v>1650</v>
      </c>
      <c r="J51">
        <v>5000</v>
      </c>
      <c r="K51" s="2">
        <f t="shared" si="0"/>
        <v>0.33</v>
      </c>
      <c r="L51" s="2">
        <f t="shared" si="1"/>
        <v>0.66999999999999993</v>
      </c>
    </row>
    <row r="52" spans="1:12" x14ac:dyDescent="0.25">
      <c r="A52" t="s">
        <v>116</v>
      </c>
      <c r="B52" t="s">
        <v>117</v>
      </c>
      <c r="C52" t="s">
        <v>17</v>
      </c>
      <c r="D52">
        <v>500</v>
      </c>
      <c r="E52">
        <v>510</v>
      </c>
      <c r="F52">
        <v>520</v>
      </c>
      <c r="G52">
        <v>530</v>
      </c>
      <c r="H52">
        <v>540</v>
      </c>
      <c r="I52">
        <v>2600</v>
      </c>
      <c r="J52">
        <v>5000</v>
      </c>
      <c r="K52" s="2">
        <f t="shared" si="0"/>
        <v>0.52</v>
      </c>
      <c r="L52" s="2">
        <f t="shared" si="1"/>
        <v>0.48</v>
      </c>
    </row>
    <row r="53" spans="1:12" x14ac:dyDescent="0.25">
      <c r="A53" t="s">
        <v>118</v>
      </c>
      <c r="B53" t="s">
        <v>119</v>
      </c>
      <c r="C53" t="s">
        <v>17</v>
      </c>
      <c r="D53">
        <v>400</v>
      </c>
      <c r="E53">
        <v>410</v>
      </c>
      <c r="F53">
        <v>420</v>
      </c>
      <c r="G53">
        <v>430</v>
      </c>
      <c r="H53">
        <v>440</v>
      </c>
      <c r="I53">
        <v>2100</v>
      </c>
      <c r="J53">
        <v>5000</v>
      </c>
      <c r="K53" s="2">
        <f t="shared" si="0"/>
        <v>0.42</v>
      </c>
      <c r="L53" s="2">
        <f t="shared" si="1"/>
        <v>0.58000000000000007</v>
      </c>
    </row>
    <row r="54" spans="1:12" x14ac:dyDescent="0.25">
      <c r="A54" t="s">
        <v>120</v>
      </c>
      <c r="B54" t="s">
        <v>121</v>
      </c>
      <c r="C54" t="s">
        <v>27</v>
      </c>
      <c r="D54">
        <v>600</v>
      </c>
      <c r="E54">
        <v>610</v>
      </c>
      <c r="F54">
        <v>620</v>
      </c>
      <c r="G54">
        <v>630</v>
      </c>
      <c r="H54">
        <v>640</v>
      </c>
      <c r="I54">
        <v>3100</v>
      </c>
      <c r="J54">
        <v>5000</v>
      </c>
      <c r="K54" s="2">
        <f t="shared" si="0"/>
        <v>0.62</v>
      </c>
      <c r="L54" s="2">
        <f t="shared" si="1"/>
        <v>0.38</v>
      </c>
    </row>
    <row r="55" spans="1:12" x14ac:dyDescent="0.25">
      <c r="A55" t="s">
        <v>122</v>
      </c>
      <c r="B55" t="s">
        <v>123</v>
      </c>
      <c r="C55" t="s">
        <v>27</v>
      </c>
      <c r="D55">
        <v>300</v>
      </c>
      <c r="E55">
        <v>320</v>
      </c>
      <c r="F55">
        <v>310</v>
      </c>
      <c r="G55">
        <v>290</v>
      </c>
      <c r="H55">
        <v>280</v>
      </c>
      <c r="I55">
        <v>1500</v>
      </c>
      <c r="J55">
        <v>5000</v>
      </c>
      <c r="K55" s="2">
        <f t="shared" si="0"/>
        <v>0.3</v>
      </c>
      <c r="L55" s="2">
        <f t="shared" si="1"/>
        <v>0.7</v>
      </c>
    </row>
    <row r="56" spans="1:12" x14ac:dyDescent="0.25">
      <c r="A56" t="s">
        <v>124</v>
      </c>
      <c r="B56" t="s">
        <v>125</v>
      </c>
      <c r="C56" t="s">
        <v>27</v>
      </c>
      <c r="D56">
        <v>300</v>
      </c>
      <c r="E56">
        <v>310</v>
      </c>
      <c r="F56">
        <v>320</v>
      </c>
      <c r="G56">
        <v>330</v>
      </c>
      <c r="H56">
        <v>340</v>
      </c>
      <c r="I56">
        <v>1600</v>
      </c>
      <c r="J56">
        <v>5000</v>
      </c>
      <c r="K56" s="2">
        <f t="shared" si="0"/>
        <v>0.32</v>
      </c>
      <c r="L56" s="2">
        <f t="shared" si="1"/>
        <v>0.67999999999999994</v>
      </c>
    </row>
    <row r="57" spans="1:12" x14ac:dyDescent="0.25">
      <c r="A57" t="s">
        <v>126</v>
      </c>
      <c r="B57" t="s">
        <v>127</v>
      </c>
      <c r="C57" t="s">
        <v>17</v>
      </c>
      <c r="D57">
        <v>500</v>
      </c>
      <c r="E57">
        <v>520</v>
      </c>
      <c r="F57">
        <v>510</v>
      </c>
      <c r="G57">
        <v>530</v>
      </c>
      <c r="H57">
        <v>540</v>
      </c>
      <c r="I57">
        <v>2600</v>
      </c>
      <c r="J57">
        <v>5000</v>
      </c>
      <c r="K57" s="2">
        <f t="shared" si="0"/>
        <v>0.52</v>
      </c>
      <c r="L57" s="2">
        <f t="shared" si="1"/>
        <v>0.48</v>
      </c>
    </row>
    <row r="58" spans="1:12" x14ac:dyDescent="0.25">
      <c r="A58" t="s">
        <v>128</v>
      </c>
      <c r="B58" t="s">
        <v>129</v>
      </c>
      <c r="C58" t="s">
        <v>14</v>
      </c>
      <c r="D58">
        <v>450</v>
      </c>
      <c r="E58">
        <v>440</v>
      </c>
      <c r="F58">
        <v>430</v>
      </c>
      <c r="G58">
        <v>420</v>
      </c>
      <c r="H58">
        <v>410</v>
      </c>
      <c r="I58">
        <v>2150</v>
      </c>
      <c r="J58">
        <v>5000</v>
      </c>
      <c r="K58" s="2">
        <f t="shared" si="0"/>
        <v>0.43</v>
      </c>
      <c r="L58" s="2">
        <f t="shared" si="1"/>
        <v>0.57000000000000006</v>
      </c>
    </row>
    <row r="59" spans="1:12" x14ac:dyDescent="0.25">
      <c r="A59" t="s">
        <v>130</v>
      </c>
      <c r="B59" t="s">
        <v>131</v>
      </c>
      <c r="C59" t="s">
        <v>14</v>
      </c>
      <c r="D59">
        <v>400</v>
      </c>
      <c r="E59">
        <v>410</v>
      </c>
      <c r="F59">
        <v>420</v>
      </c>
      <c r="G59">
        <v>430</v>
      </c>
      <c r="H59">
        <v>440</v>
      </c>
      <c r="I59">
        <v>2100</v>
      </c>
      <c r="J59">
        <v>5000</v>
      </c>
      <c r="K59" s="2">
        <f t="shared" si="0"/>
        <v>0.42</v>
      </c>
      <c r="L59" s="2">
        <f t="shared" si="1"/>
        <v>0.58000000000000007</v>
      </c>
    </row>
    <row r="60" spans="1:12" x14ac:dyDescent="0.25">
      <c r="A60" t="s">
        <v>132</v>
      </c>
      <c r="B60" t="s">
        <v>133</v>
      </c>
      <c r="C60" t="s">
        <v>14</v>
      </c>
      <c r="D60">
        <v>540</v>
      </c>
      <c r="E60">
        <v>550</v>
      </c>
      <c r="F60">
        <v>530</v>
      </c>
      <c r="G60">
        <v>520</v>
      </c>
      <c r="H60">
        <v>510</v>
      </c>
      <c r="I60">
        <v>2650</v>
      </c>
      <c r="J60">
        <v>5000</v>
      </c>
      <c r="K60" s="2">
        <f t="shared" si="0"/>
        <v>0.53</v>
      </c>
      <c r="L60" s="2">
        <f t="shared" si="1"/>
        <v>0.47</v>
      </c>
    </row>
    <row r="61" spans="1:12" x14ac:dyDescent="0.25">
      <c r="A61" t="s">
        <v>134</v>
      </c>
      <c r="B61" t="s">
        <v>135</v>
      </c>
      <c r="C61" t="s">
        <v>24</v>
      </c>
      <c r="D61">
        <v>500</v>
      </c>
      <c r="E61">
        <v>490</v>
      </c>
      <c r="F61">
        <v>480</v>
      </c>
      <c r="G61">
        <v>470</v>
      </c>
      <c r="H61">
        <v>460</v>
      </c>
      <c r="I61">
        <v>2400</v>
      </c>
      <c r="J61">
        <v>5000</v>
      </c>
      <c r="K61" s="2">
        <f t="shared" si="0"/>
        <v>0.48</v>
      </c>
      <c r="L61" s="2">
        <f t="shared" si="1"/>
        <v>0.52</v>
      </c>
    </row>
    <row r="62" spans="1:12" x14ac:dyDescent="0.25">
      <c r="A62" t="s">
        <v>136</v>
      </c>
      <c r="B62" t="s">
        <v>137</v>
      </c>
      <c r="C62" t="s">
        <v>17</v>
      </c>
      <c r="D62">
        <v>400</v>
      </c>
      <c r="E62">
        <v>390</v>
      </c>
      <c r="F62">
        <v>380</v>
      </c>
      <c r="G62">
        <v>370</v>
      </c>
      <c r="H62">
        <v>360</v>
      </c>
      <c r="I62">
        <v>1900</v>
      </c>
      <c r="J62">
        <v>5000</v>
      </c>
      <c r="K62" s="2">
        <f t="shared" si="0"/>
        <v>0.38</v>
      </c>
      <c r="L62" s="2">
        <f t="shared" si="1"/>
        <v>0.62</v>
      </c>
    </row>
    <row r="63" spans="1:12" x14ac:dyDescent="0.25">
      <c r="A63" t="s">
        <v>138</v>
      </c>
      <c r="B63" t="s">
        <v>139</v>
      </c>
      <c r="C63" t="s">
        <v>17</v>
      </c>
      <c r="D63">
        <v>300</v>
      </c>
      <c r="E63">
        <v>310</v>
      </c>
      <c r="F63">
        <v>320</v>
      </c>
      <c r="G63">
        <v>330</v>
      </c>
      <c r="H63">
        <v>340</v>
      </c>
      <c r="I63">
        <v>1600</v>
      </c>
      <c r="J63">
        <v>5000</v>
      </c>
      <c r="K63" s="2">
        <f t="shared" si="0"/>
        <v>0.32</v>
      </c>
      <c r="L63" s="2">
        <f t="shared" si="1"/>
        <v>0.67999999999999994</v>
      </c>
    </row>
    <row r="64" spans="1:12" x14ac:dyDescent="0.25">
      <c r="A64" t="s">
        <v>140</v>
      </c>
      <c r="B64" t="s">
        <v>141</v>
      </c>
      <c r="C64" t="s">
        <v>27</v>
      </c>
      <c r="D64">
        <v>410</v>
      </c>
      <c r="E64">
        <v>420</v>
      </c>
      <c r="F64">
        <v>430</v>
      </c>
      <c r="G64">
        <v>440</v>
      </c>
      <c r="H64">
        <v>450</v>
      </c>
      <c r="I64">
        <v>2150</v>
      </c>
      <c r="J64">
        <v>5000</v>
      </c>
      <c r="K64" s="2">
        <f t="shared" si="0"/>
        <v>0.43</v>
      </c>
      <c r="L64" s="2">
        <f t="shared" si="1"/>
        <v>0.57000000000000006</v>
      </c>
    </row>
    <row r="65" spans="1:12" x14ac:dyDescent="0.25">
      <c r="A65" t="s">
        <v>142</v>
      </c>
      <c r="B65" t="s">
        <v>143</v>
      </c>
      <c r="C65" t="s">
        <v>27</v>
      </c>
      <c r="D65">
        <v>550</v>
      </c>
      <c r="E65">
        <v>540</v>
      </c>
      <c r="F65">
        <v>530</v>
      </c>
      <c r="G65">
        <v>520</v>
      </c>
      <c r="H65">
        <v>510</v>
      </c>
      <c r="I65">
        <v>2650</v>
      </c>
      <c r="J65">
        <v>5000</v>
      </c>
      <c r="K65" s="2">
        <f t="shared" si="0"/>
        <v>0.53</v>
      </c>
      <c r="L65" s="2">
        <f t="shared" si="1"/>
        <v>0.47</v>
      </c>
    </row>
    <row r="66" spans="1:12" x14ac:dyDescent="0.25">
      <c r="A66" t="s">
        <v>144</v>
      </c>
      <c r="B66" t="s">
        <v>145</v>
      </c>
      <c r="C66" t="s">
        <v>27</v>
      </c>
      <c r="D66">
        <v>300</v>
      </c>
      <c r="E66">
        <v>320</v>
      </c>
      <c r="F66">
        <v>310</v>
      </c>
      <c r="G66">
        <v>330</v>
      </c>
      <c r="H66">
        <v>340</v>
      </c>
      <c r="I66">
        <v>1600</v>
      </c>
      <c r="J66">
        <v>5000</v>
      </c>
      <c r="K66" s="2">
        <f t="shared" si="0"/>
        <v>0.32</v>
      </c>
      <c r="L66" s="2">
        <f t="shared" si="1"/>
        <v>0.67999999999999994</v>
      </c>
    </row>
    <row r="67" spans="1:12" x14ac:dyDescent="0.25">
      <c r="A67" t="s">
        <v>146</v>
      </c>
      <c r="B67" t="s">
        <v>147</v>
      </c>
      <c r="C67" t="s">
        <v>24</v>
      </c>
      <c r="D67">
        <v>700</v>
      </c>
      <c r="E67">
        <v>750</v>
      </c>
      <c r="F67">
        <v>720</v>
      </c>
      <c r="G67">
        <v>710</v>
      </c>
      <c r="H67">
        <v>730</v>
      </c>
      <c r="I67">
        <v>3610</v>
      </c>
      <c r="J67">
        <v>5000</v>
      </c>
      <c r="K67" s="2">
        <f t="shared" ref="K67:K96" si="2">I67/J67</f>
        <v>0.72199999999999998</v>
      </c>
      <c r="L67" s="2">
        <f t="shared" ref="L67:L96" si="3">100%-K67</f>
        <v>0.27800000000000002</v>
      </c>
    </row>
    <row r="68" spans="1:12" x14ac:dyDescent="0.25">
      <c r="A68" t="s">
        <v>148</v>
      </c>
      <c r="B68" t="s">
        <v>149</v>
      </c>
      <c r="C68" t="s">
        <v>17</v>
      </c>
      <c r="D68">
        <v>500</v>
      </c>
      <c r="E68">
        <v>510</v>
      </c>
      <c r="F68">
        <v>520</v>
      </c>
      <c r="G68">
        <v>530</v>
      </c>
      <c r="H68">
        <v>540</v>
      </c>
      <c r="I68">
        <v>2600</v>
      </c>
      <c r="J68">
        <v>5000</v>
      </c>
      <c r="K68" s="2">
        <f t="shared" si="2"/>
        <v>0.52</v>
      </c>
      <c r="L68" s="2">
        <f t="shared" si="3"/>
        <v>0.48</v>
      </c>
    </row>
    <row r="69" spans="1:12" x14ac:dyDescent="0.25">
      <c r="A69" t="s">
        <v>150</v>
      </c>
      <c r="B69" t="s">
        <v>151</v>
      </c>
      <c r="C69" t="s">
        <v>14</v>
      </c>
      <c r="D69">
        <v>550</v>
      </c>
      <c r="E69">
        <v>560</v>
      </c>
      <c r="F69">
        <v>570</v>
      </c>
      <c r="G69">
        <v>580</v>
      </c>
      <c r="H69">
        <v>590</v>
      </c>
      <c r="I69">
        <v>2850</v>
      </c>
      <c r="J69">
        <v>5000</v>
      </c>
      <c r="K69" s="2">
        <f t="shared" si="2"/>
        <v>0.56999999999999995</v>
      </c>
      <c r="L69" s="2">
        <f t="shared" si="3"/>
        <v>0.43000000000000005</v>
      </c>
    </row>
    <row r="70" spans="1:12" x14ac:dyDescent="0.25">
      <c r="A70" t="s">
        <v>152</v>
      </c>
      <c r="B70" t="s">
        <v>153</v>
      </c>
      <c r="C70" t="s">
        <v>14</v>
      </c>
      <c r="D70">
        <v>450</v>
      </c>
      <c r="E70">
        <v>460</v>
      </c>
      <c r="F70">
        <v>470</v>
      </c>
      <c r="G70">
        <v>480</v>
      </c>
      <c r="H70">
        <v>490</v>
      </c>
      <c r="I70">
        <v>2350</v>
      </c>
      <c r="J70">
        <v>5000</v>
      </c>
      <c r="K70" s="2">
        <f t="shared" si="2"/>
        <v>0.47</v>
      </c>
      <c r="L70" s="2">
        <f t="shared" si="3"/>
        <v>0.53</v>
      </c>
    </row>
    <row r="71" spans="1:12" x14ac:dyDescent="0.25">
      <c r="A71" t="s">
        <v>154</v>
      </c>
      <c r="B71" t="s">
        <v>155</v>
      </c>
      <c r="C71" t="s">
        <v>24</v>
      </c>
      <c r="D71">
        <v>600</v>
      </c>
      <c r="E71">
        <v>590</v>
      </c>
      <c r="F71">
        <v>580</v>
      </c>
      <c r="G71">
        <v>570</v>
      </c>
      <c r="H71">
        <v>560</v>
      </c>
      <c r="I71">
        <v>2900</v>
      </c>
      <c r="J71">
        <v>5000</v>
      </c>
      <c r="K71" s="2">
        <f t="shared" si="2"/>
        <v>0.57999999999999996</v>
      </c>
      <c r="L71" s="2">
        <f t="shared" si="3"/>
        <v>0.42000000000000004</v>
      </c>
    </row>
    <row r="72" spans="1:12" x14ac:dyDescent="0.25">
      <c r="A72" t="s">
        <v>156</v>
      </c>
      <c r="B72" t="s">
        <v>157</v>
      </c>
      <c r="C72" t="s">
        <v>24</v>
      </c>
      <c r="D72">
        <v>700</v>
      </c>
      <c r="E72">
        <v>710</v>
      </c>
      <c r="F72">
        <v>720</v>
      </c>
      <c r="G72">
        <v>730</v>
      </c>
      <c r="H72">
        <v>740</v>
      </c>
      <c r="I72">
        <v>3600</v>
      </c>
      <c r="J72">
        <v>5000</v>
      </c>
      <c r="K72" s="2">
        <f t="shared" si="2"/>
        <v>0.72</v>
      </c>
      <c r="L72" s="2">
        <f t="shared" si="3"/>
        <v>0.28000000000000003</v>
      </c>
    </row>
    <row r="73" spans="1:12" x14ac:dyDescent="0.25">
      <c r="A73" t="s">
        <v>158</v>
      </c>
      <c r="B73" t="s">
        <v>159</v>
      </c>
      <c r="C73" t="s">
        <v>14</v>
      </c>
      <c r="D73">
        <v>450</v>
      </c>
      <c r="E73">
        <v>440</v>
      </c>
      <c r="F73">
        <v>430</v>
      </c>
      <c r="G73">
        <v>420</v>
      </c>
      <c r="H73">
        <v>410</v>
      </c>
      <c r="I73">
        <v>2150</v>
      </c>
      <c r="J73">
        <v>5000</v>
      </c>
      <c r="K73" s="2">
        <f t="shared" si="2"/>
        <v>0.43</v>
      </c>
      <c r="L73" s="2">
        <f t="shared" si="3"/>
        <v>0.57000000000000006</v>
      </c>
    </row>
    <row r="74" spans="1:12" x14ac:dyDescent="0.25">
      <c r="A74" t="s">
        <v>160</v>
      </c>
      <c r="B74" t="s">
        <v>161</v>
      </c>
      <c r="C74" t="s">
        <v>17</v>
      </c>
      <c r="D74">
        <v>450</v>
      </c>
      <c r="E74">
        <v>430</v>
      </c>
      <c r="F74">
        <v>440</v>
      </c>
      <c r="G74">
        <v>420</v>
      </c>
      <c r="H74">
        <v>410</v>
      </c>
      <c r="I74">
        <v>2150</v>
      </c>
      <c r="J74">
        <v>5000</v>
      </c>
      <c r="K74" s="2">
        <f t="shared" si="2"/>
        <v>0.43</v>
      </c>
      <c r="L74" s="2">
        <f t="shared" si="3"/>
        <v>0.57000000000000006</v>
      </c>
    </row>
    <row r="75" spans="1:12" x14ac:dyDescent="0.25">
      <c r="A75" t="s">
        <v>162</v>
      </c>
      <c r="B75" t="s">
        <v>163</v>
      </c>
      <c r="C75" t="s">
        <v>24</v>
      </c>
      <c r="D75">
        <v>550</v>
      </c>
      <c r="E75">
        <v>560</v>
      </c>
      <c r="F75">
        <v>570</v>
      </c>
      <c r="G75">
        <v>580</v>
      </c>
      <c r="H75">
        <v>590</v>
      </c>
      <c r="I75">
        <v>2850</v>
      </c>
      <c r="J75">
        <v>5000</v>
      </c>
      <c r="K75" s="2">
        <f t="shared" si="2"/>
        <v>0.56999999999999995</v>
      </c>
      <c r="L75" s="2">
        <f t="shared" si="3"/>
        <v>0.43000000000000005</v>
      </c>
    </row>
    <row r="76" spans="1:12" x14ac:dyDescent="0.25">
      <c r="A76" t="s">
        <v>164</v>
      </c>
      <c r="B76" t="s">
        <v>165</v>
      </c>
      <c r="C76" t="s">
        <v>17</v>
      </c>
      <c r="D76">
        <v>300</v>
      </c>
      <c r="E76">
        <v>310</v>
      </c>
      <c r="F76">
        <v>320</v>
      </c>
      <c r="G76">
        <v>330</v>
      </c>
      <c r="H76">
        <v>340</v>
      </c>
      <c r="I76">
        <v>1600</v>
      </c>
      <c r="J76">
        <v>5000</v>
      </c>
      <c r="K76" s="2">
        <f t="shared" si="2"/>
        <v>0.32</v>
      </c>
      <c r="L76" s="2">
        <f t="shared" si="3"/>
        <v>0.67999999999999994</v>
      </c>
    </row>
    <row r="77" spans="1:12" x14ac:dyDescent="0.25">
      <c r="A77" t="s">
        <v>166</v>
      </c>
      <c r="B77" t="s">
        <v>167</v>
      </c>
      <c r="C77" t="s">
        <v>17</v>
      </c>
      <c r="D77">
        <v>380</v>
      </c>
      <c r="E77">
        <v>390</v>
      </c>
      <c r="F77">
        <v>400</v>
      </c>
      <c r="G77">
        <v>410</v>
      </c>
      <c r="H77">
        <v>420</v>
      </c>
      <c r="I77">
        <v>2000</v>
      </c>
      <c r="J77">
        <v>5000</v>
      </c>
      <c r="K77" s="2">
        <f t="shared" si="2"/>
        <v>0.4</v>
      </c>
      <c r="L77" s="2">
        <f t="shared" si="3"/>
        <v>0.6</v>
      </c>
    </row>
    <row r="78" spans="1:12" x14ac:dyDescent="0.25">
      <c r="A78" t="s">
        <v>168</v>
      </c>
      <c r="B78" t="s">
        <v>169</v>
      </c>
      <c r="C78" t="s">
        <v>17</v>
      </c>
      <c r="D78">
        <v>400</v>
      </c>
      <c r="E78">
        <v>410</v>
      </c>
      <c r="F78">
        <v>420</v>
      </c>
      <c r="G78">
        <v>430</v>
      </c>
      <c r="H78">
        <v>440</v>
      </c>
      <c r="I78">
        <v>2100</v>
      </c>
      <c r="J78">
        <v>5000</v>
      </c>
      <c r="K78" s="2">
        <f t="shared" si="2"/>
        <v>0.42</v>
      </c>
      <c r="L78" s="2">
        <f t="shared" si="3"/>
        <v>0.58000000000000007</v>
      </c>
    </row>
    <row r="79" spans="1:12" x14ac:dyDescent="0.25">
      <c r="A79" t="s">
        <v>170</v>
      </c>
      <c r="B79" t="s">
        <v>171</v>
      </c>
      <c r="C79" t="s">
        <v>27</v>
      </c>
      <c r="D79">
        <v>400</v>
      </c>
      <c r="E79">
        <v>410</v>
      </c>
      <c r="F79">
        <v>420</v>
      </c>
      <c r="G79">
        <v>430</v>
      </c>
      <c r="H79">
        <v>440</v>
      </c>
      <c r="I79">
        <v>2100</v>
      </c>
      <c r="J79">
        <v>5000</v>
      </c>
      <c r="K79" s="2">
        <f t="shared" si="2"/>
        <v>0.42</v>
      </c>
      <c r="L79" s="2">
        <f t="shared" si="3"/>
        <v>0.58000000000000007</v>
      </c>
    </row>
    <row r="80" spans="1:12" x14ac:dyDescent="0.25">
      <c r="A80" t="s">
        <v>172</v>
      </c>
      <c r="B80" t="s">
        <v>173</v>
      </c>
      <c r="C80" t="s">
        <v>14</v>
      </c>
      <c r="D80">
        <v>380</v>
      </c>
      <c r="E80">
        <v>390</v>
      </c>
      <c r="F80">
        <v>400</v>
      </c>
      <c r="G80">
        <v>410</v>
      </c>
      <c r="H80">
        <v>420</v>
      </c>
      <c r="I80">
        <v>2000</v>
      </c>
      <c r="J80">
        <v>5000</v>
      </c>
      <c r="K80" s="2">
        <f t="shared" si="2"/>
        <v>0.4</v>
      </c>
      <c r="L80" s="2">
        <f t="shared" si="3"/>
        <v>0.6</v>
      </c>
    </row>
    <row r="81" spans="1:12" x14ac:dyDescent="0.25">
      <c r="A81" t="s">
        <v>174</v>
      </c>
      <c r="B81" t="s">
        <v>175</v>
      </c>
      <c r="C81" t="s">
        <v>24</v>
      </c>
      <c r="D81">
        <v>600</v>
      </c>
      <c r="E81">
        <v>610</v>
      </c>
      <c r="F81">
        <v>620</v>
      </c>
      <c r="G81">
        <v>630</v>
      </c>
      <c r="H81">
        <v>640</v>
      </c>
      <c r="I81">
        <v>3100</v>
      </c>
      <c r="J81">
        <v>5000</v>
      </c>
      <c r="K81" s="2">
        <f t="shared" si="2"/>
        <v>0.62</v>
      </c>
      <c r="L81" s="2">
        <f t="shared" si="3"/>
        <v>0.38</v>
      </c>
    </row>
    <row r="82" spans="1:12" x14ac:dyDescent="0.25">
      <c r="A82" t="s">
        <v>176</v>
      </c>
      <c r="B82" t="s">
        <v>177</v>
      </c>
      <c r="C82" t="s">
        <v>14</v>
      </c>
      <c r="D82">
        <v>400</v>
      </c>
      <c r="E82">
        <v>410</v>
      </c>
      <c r="F82">
        <v>420</v>
      </c>
      <c r="G82">
        <v>430</v>
      </c>
      <c r="H82">
        <v>440</v>
      </c>
      <c r="I82">
        <v>2100</v>
      </c>
      <c r="J82">
        <v>5000</v>
      </c>
      <c r="K82" s="2">
        <f t="shared" si="2"/>
        <v>0.42</v>
      </c>
      <c r="L82" s="2">
        <f t="shared" si="3"/>
        <v>0.58000000000000007</v>
      </c>
    </row>
    <row r="83" spans="1:12" x14ac:dyDescent="0.25">
      <c r="A83" t="s">
        <v>178</v>
      </c>
      <c r="B83" t="s">
        <v>179</v>
      </c>
      <c r="C83" t="s">
        <v>14</v>
      </c>
      <c r="D83">
        <v>380</v>
      </c>
      <c r="E83">
        <v>390</v>
      </c>
      <c r="F83">
        <v>400</v>
      </c>
      <c r="G83">
        <v>410</v>
      </c>
      <c r="H83">
        <v>420</v>
      </c>
      <c r="I83">
        <v>2000</v>
      </c>
      <c r="J83">
        <v>5000</v>
      </c>
      <c r="K83" s="2">
        <f t="shared" si="2"/>
        <v>0.4</v>
      </c>
      <c r="L83" s="2">
        <f t="shared" si="3"/>
        <v>0.6</v>
      </c>
    </row>
    <row r="84" spans="1:12" x14ac:dyDescent="0.25">
      <c r="A84" t="s">
        <v>180</v>
      </c>
      <c r="B84" t="s">
        <v>181</v>
      </c>
      <c r="C84" t="s">
        <v>17</v>
      </c>
      <c r="D84">
        <v>460</v>
      </c>
      <c r="E84">
        <v>470</v>
      </c>
      <c r="F84">
        <v>480</v>
      </c>
      <c r="G84">
        <v>490</v>
      </c>
      <c r="H84">
        <v>500</v>
      </c>
      <c r="I84">
        <v>2400</v>
      </c>
      <c r="J84">
        <v>5000</v>
      </c>
      <c r="K84" s="2">
        <f t="shared" si="2"/>
        <v>0.48</v>
      </c>
      <c r="L84" s="2">
        <f t="shared" si="3"/>
        <v>0.52</v>
      </c>
    </row>
    <row r="85" spans="1:12" x14ac:dyDescent="0.25">
      <c r="A85" t="s">
        <v>182</v>
      </c>
      <c r="B85" t="s">
        <v>183</v>
      </c>
      <c r="C85" t="s">
        <v>24</v>
      </c>
      <c r="D85">
        <v>450</v>
      </c>
      <c r="E85">
        <v>430</v>
      </c>
      <c r="F85">
        <v>440</v>
      </c>
      <c r="G85">
        <v>450</v>
      </c>
      <c r="H85">
        <v>460</v>
      </c>
      <c r="I85">
        <v>2230</v>
      </c>
      <c r="J85">
        <v>5000</v>
      </c>
      <c r="K85" s="2">
        <f t="shared" si="2"/>
        <v>0.44600000000000001</v>
      </c>
      <c r="L85" s="2">
        <f t="shared" si="3"/>
        <v>0.55400000000000005</v>
      </c>
    </row>
    <row r="86" spans="1:12" x14ac:dyDescent="0.25">
      <c r="A86" t="s">
        <v>184</v>
      </c>
      <c r="B86" t="s">
        <v>185</v>
      </c>
      <c r="C86" t="s">
        <v>24</v>
      </c>
      <c r="D86">
        <v>450</v>
      </c>
      <c r="E86">
        <v>440</v>
      </c>
      <c r="F86">
        <v>430</v>
      </c>
      <c r="G86">
        <v>420</v>
      </c>
      <c r="H86">
        <v>410</v>
      </c>
      <c r="I86">
        <v>2150</v>
      </c>
      <c r="J86">
        <v>5000</v>
      </c>
      <c r="K86" s="2">
        <f t="shared" si="2"/>
        <v>0.43</v>
      </c>
      <c r="L86" s="2">
        <f t="shared" si="3"/>
        <v>0.57000000000000006</v>
      </c>
    </row>
    <row r="87" spans="1:12" x14ac:dyDescent="0.25">
      <c r="A87" t="s">
        <v>186</v>
      </c>
      <c r="B87" t="s">
        <v>187</v>
      </c>
      <c r="C87" t="s">
        <v>14</v>
      </c>
      <c r="D87">
        <v>300</v>
      </c>
      <c r="E87">
        <v>290</v>
      </c>
      <c r="F87">
        <v>280</v>
      </c>
      <c r="G87">
        <v>270</v>
      </c>
      <c r="H87">
        <v>260</v>
      </c>
      <c r="I87">
        <v>1400</v>
      </c>
      <c r="J87">
        <v>5000</v>
      </c>
      <c r="K87" s="2">
        <f t="shared" si="2"/>
        <v>0.28000000000000003</v>
      </c>
      <c r="L87" s="2">
        <f t="shared" si="3"/>
        <v>0.72</v>
      </c>
    </row>
    <row r="88" spans="1:12" x14ac:dyDescent="0.25">
      <c r="A88" t="s">
        <v>188</v>
      </c>
      <c r="B88" t="s">
        <v>189</v>
      </c>
      <c r="C88" t="s">
        <v>17</v>
      </c>
      <c r="D88">
        <v>300</v>
      </c>
      <c r="E88">
        <v>310</v>
      </c>
      <c r="F88">
        <v>320</v>
      </c>
      <c r="G88">
        <v>330</v>
      </c>
      <c r="H88">
        <v>340</v>
      </c>
      <c r="I88">
        <v>1600</v>
      </c>
      <c r="J88">
        <v>5000</v>
      </c>
      <c r="K88" s="2">
        <f t="shared" si="2"/>
        <v>0.32</v>
      </c>
      <c r="L88" s="2">
        <f t="shared" si="3"/>
        <v>0.67999999999999994</v>
      </c>
    </row>
    <row r="89" spans="1:12" x14ac:dyDescent="0.25">
      <c r="A89" t="s">
        <v>190</v>
      </c>
      <c r="B89" t="s">
        <v>191</v>
      </c>
      <c r="C89" t="s">
        <v>17</v>
      </c>
      <c r="D89">
        <v>620</v>
      </c>
      <c r="E89">
        <v>630</v>
      </c>
      <c r="F89">
        <v>640</v>
      </c>
      <c r="G89">
        <v>650</v>
      </c>
      <c r="H89">
        <v>660</v>
      </c>
      <c r="I89">
        <v>3200</v>
      </c>
      <c r="J89">
        <v>5000</v>
      </c>
      <c r="K89" s="2">
        <f t="shared" si="2"/>
        <v>0.64</v>
      </c>
      <c r="L89" s="2">
        <f t="shared" si="3"/>
        <v>0.36</v>
      </c>
    </row>
    <row r="90" spans="1:12" x14ac:dyDescent="0.25">
      <c r="A90" t="s">
        <v>192</v>
      </c>
      <c r="B90" t="s">
        <v>193</v>
      </c>
      <c r="C90" t="s">
        <v>17</v>
      </c>
      <c r="D90">
        <v>450</v>
      </c>
      <c r="E90">
        <v>440</v>
      </c>
      <c r="F90">
        <v>430</v>
      </c>
      <c r="G90">
        <v>420</v>
      </c>
      <c r="H90">
        <v>410</v>
      </c>
      <c r="I90">
        <v>2150</v>
      </c>
      <c r="J90">
        <v>5000</v>
      </c>
      <c r="K90" s="2">
        <f t="shared" si="2"/>
        <v>0.43</v>
      </c>
      <c r="L90" s="2">
        <f t="shared" si="3"/>
        <v>0.57000000000000006</v>
      </c>
    </row>
    <row r="91" spans="1:12" x14ac:dyDescent="0.25">
      <c r="A91" t="s">
        <v>194</v>
      </c>
      <c r="B91" t="s">
        <v>195</v>
      </c>
      <c r="C91" t="s">
        <v>24</v>
      </c>
      <c r="D91">
        <v>620</v>
      </c>
      <c r="E91">
        <v>610</v>
      </c>
      <c r="F91">
        <v>600</v>
      </c>
      <c r="G91">
        <v>630</v>
      </c>
      <c r="H91">
        <v>640</v>
      </c>
      <c r="I91">
        <v>3100</v>
      </c>
      <c r="J91">
        <v>5000</v>
      </c>
      <c r="K91" s="2">
        <f t="shared" si="2"/>
        <v>0.62</v>
      </c>
      <c r="L91" s="2">
        <f t="shared" si="3"/>
        <v>0.38</v>
      </c>
    </row>
    <row r="92" spans="1:12" x14ac:dyDescent="0.25">
      <c r="A92" t="s">
        <v>196</v>
      </c>
      <c r="B92" t="s">
        <v>197</v>
      </c>
      <c r="C92" t="s">
        <v>14</v>
      </c>
      <c r="D92">
        <v>300</v>
      </c>
      <c r="E92">
        <v>290</v>
      </c>
      <c r="F92">
        <v>280</v>
      </c>
      <c r="G92">
        <v>270</v>
      </c>
      <c r="H92">
        <v>260</v>
      </c>
      <c r="I92">
        <v>1400</v>
      </c>
      <c r="J92">
        <v>5000</v>
      </c>
      <c r="K92" s="2">
        <f t="shared" si="2"/>
        <v>0.28000000000000003</v>
      </c>
      <c r="L92" s="2">
        <f t="shared" si="3"/>
        <v>0.72</v>
      </c>
    </row>
    <row r="93" spans="1:12" x14ac:dyDescent="0.25">
      <c r="A93" t="s">
        <v>198</v>
      </c>
      <c r="B93" t="s">
        <v>199</v>
      </c>
      <c r="C93" t="s">
        <v>14</v>
      </c>
      <c r="D93">
        <v>700</v>
      </c>
      <c r="E93">
        <v>750</v>
      </c>
      <c r="F93">
        <v>720</v>
      </c>
      <c r="G93">
        <v>710</v>
      </c>
      <c r="H93">
        <v>730</v>
      </c>
      <c r="I93">
        <v>3610</v>
      </c>
      <c r="J93">
        <v>5000</v>
      </c>
      <c r="K93" s="2">
        <f t="shared" si="2"/>
        <v>0.72199999999999998</v>
      </c>
      <c r="L93" s="2">
        <f t="shared" si="3"/>
        <v>0.27800000000000002</v>
      </c>
    </row>
    <row r="94" spans="1:12" x14ac:dyDescent="0.25">
      <c r="A94" t="s">
        <v>200</v>
      </c>
      <c r="B94" t="s">
        <v>201</v>
      </c>
      <c r="C94" t="s">
        <v>14</v>
      </c>
      <c r="D94">
        <v>700</v>
      </c>
      <c r="E94">
        <v>680</v>
      </c>
      <c r="F94">
        <v>690</v>
      </c>
      <c r="G94">
        <v>700</v>
      </c>
      <c r="H94">
        <v>710</v>
      </c>
      <c r="I94">
        <v>3480</v>
      </c>
      <c r="J94">
        <v>5000</v>
      </c>
      <c r="K94" s="2">
        <f t="shared" si="2"/>
        <v>0.69599999999999995</v>
      </c>
      <c r="L94" s="2">
        <f t="shared" si="3"/>
        <v>0.30400000000000005</v>
      </c>
    </row>
    <row r="95" spans="1:12" x14ac:dyDescent="0.25">
      <c r="A95" t="s">
        <v>202</v>
      </c>
      <c r="B95" t="s">
        <v>203</v>
      </c>
      <c r="C95" t="s">
        <v>27</v>
      </c>
      <c r="D95">
        <v>700</v>
      </c>
      <c r="E95">
        <v>710</v>
      </c>
      <c r="F95">
        <v>720</v>
      </c>
      <c r="G95">
        <v>730</v>
      </c>
      <c r="H95">
        <v>740</v>
      </c>
      <c r="I95">
        <v>3600</v>
      </c>
      <c r="J95">
        <v>5000</v>
      </c>
      <c r="K95" s="2">
        <f t="shared" si="2"/>
        <v>0.72</v>
      </c>
      <c r="L95" s="2">
        <f t="shared" si="3"/>
        <v>0.28000000000000003</v>
      </c>
    </row>
    <row r="96" spans="1:12" x14ac:dyDescent="0.25">
      <c r="A96" t="s">
        <v>204</v>
      </c>
      <c r="B96" t="s">
        <v>205</v>
      </c>
      <c r="C96" t="s">
        <v>17</v>
      </c>
      <c r="D96">
        <v>620</v>
      </c>
      <c r="E96">
        <v>610</v>
      </c>
      <c r="F96">
        <v>600</v>
      </c>
      <c r="G96">
        <v>590</v>
      </c>
      <c r="H96">
        <v>580</v>
      </c>
      <c r="I96">
        <v>3000</v>
      </c>
      <c r="J96">
        <v>5000</v>
      </c>
      <c r="K96" s="2">
        <f t="shared" si="2"/>
        <v>0.6</v>
      </c>
      <c r="L96" s="2">
        <f t="shared" si="3"/>
        <v>0.4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shamsher55dev@outlook.com</dc:creator>
  <cp:lastModifiedBy>shamsher55dev@outlook.com</cp:lastModifiedBy>
  <dcterms:created xsi:type="dcterms:W3CDTF">2025-05-18T12:07:04Z</dcterms:created>
  <dcterms:modified xsi:type="dcterms:W3CDTF">2025-05-25T09:43:25Z</dcterms:modified>
</cp:coreProperties>
</file>